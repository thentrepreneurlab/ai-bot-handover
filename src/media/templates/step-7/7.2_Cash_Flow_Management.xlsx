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7 Templates/"/>
    </mc:Choice>
  </mc:AlternateContent>
  <xr:revisionPtr revIDLastSave="43" documentId="11_00C3D0126903563046FE1AE9E9C66BF47C310F7A" xr6:coauthVersionLast="47" xr6:coauthVersionMax="47" xr10:uidLastSave="{FE6600A2-3ED6-42C1-B4E0-E4AA8552BE8B}"/>
  <bookViews>
    <workbookView xWindow="-120" yWindow="-120" windowWidth="29040" windowHeight="15840" xr2:uid="{00000000-000D-0000-FFFF-FFFF00000000}"/>
  </bookViews>
  <sheets>
    <sheet name="Cash Flow Forecast" sheetId="1" r:id="rId1"/>
    <sheet name="Expense Track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O16" i="1"/>
  <c r="O11" i="1"/>
  <c r="O10" i="1"/>
  <c r="O8" i="1"/>
  <c r="O6" i="1"/>
  <c r="O5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O15" i="1"/>
  <c r="O14" i="1"/>
  <c r="O13" i="1"/>
  <c r="O12" i="1"/>
  <c r="N8" i="1"/>
  <c r="M8" i="1"/>
  <c r="L8" i="1"/>
  <c r="K8" i="1"/>
  <c r="J8" i="1"/>
  <c r="I8" i="1"/>
  <c r="H8" i="1"/>
  <c r="G8" i="1"/>
  <c r="F8" i="1"/>
  <c r="E8" i="1"/>
  <c r="D8" i="1"/>
  <c r="C8" i="1"/>
  <c r="B8" i="1"/>
  <c r="L17" i="1" s="1"/>
  <c r="O7" i="1"/>
  <c r="I17" i="1" l="1"/>
  <c r="B17" i="1"/>
  <c r="F17" i="1"/>
  <c r="J17" i="1"/>
  <c r="N17" i="1"/>
  <c r="E17" i="1"/>
  <c r="M17" i="1"/>
  <c r="C17" i="1"/>
  <c r="G17" i="1"/>
  <c r="K17" i="1"/>
  <c r="D17" i="1"/>
  <c r="H17" i="1"/>
  <c r="N19" i="1" l="1"/>
  <c r="J19" i="1"/>
  <c r="K18" i="1" s="1"/>
  <c r="F19" i="1"/>
  <c r="G18" i="1" s="1"/>
  <c r="B19" i="1"/>
  <c r="C18" i="1" s="1"/>
  <c r="M19" i="1"/>
  <c r="N18" i="1" s="1"/>
  <c r="I19" i="1"/>
  <c r="J18" i="1" s="1"/>
  <c r="E19" i="1"/>
  <c r="F18" i="1" s="1"/>
  <c r="G19" i="1"/>
  <c r="H18" i="1" s="1"/>
  <c r="C19" i="1"/>
  <c r="D18" i="1" s="1"/>
  <c r="L19" i="1"/>
  <c r="M18" i="1" s="1"/>
  <c r="H19" i="1"/>
  <c r="I18" i="1" s="1"/>
  <c r="D19" i="1"/>
  <c r="E18" i="1" s="1"/>
  <c r="K19" i="1"/>
  <c r="L18" i="1" s="1"/>
</calcChain>
</file>

<file path=xl/sharedStrings.xml><?xml version="1.0" encoding="utf-8"?>
<sst xmlns="http://schemas.openxmlformats.org/spreadsheetml/2006/main" count="69" uniqueCount="63">
  <si>
    <t>13-Week Cash Flow Forecast</t>
  </si>
  <si>
    <t>Category</t>
  </si>
  <si>
    <t>Week 1
07/09</t>
  </si>
  <si>
    <t>Week 2
07/16</t>
  </si>
  <si>
    <t>Week 3
07/23</t>
  </si>
  <si>
    <t>Week 4
07/30</t>
  </si>
  <si>
    <t>Week 5
08/06</t>
  </si>
  <si>
    <t>Week 6
08/13</t>
  </si>
  <si>
    <t>Week 7
08/20</t>
  </si>
  <si>
    <t>Week 8
08/27</t>
  </si>
  <si>
    <t>Week 9
09/03</t>
  </si>
  <si>
    <t>Week 10
09/10</t>
  </si>
  <si>
    <t>Week 11
09/17</t>
  </si>
  <si>
    <t>Week 12
09/24</t>
  </si>
  <si>
    <t>Week 13
10/01</t>
  </si>
  <si>
    <t>Total</t>
  </si>
  <si>
    <t>CASH INFLOWS</t>
  </si>
  <si>
    <t>Sales Revenue</t>
  </si>
  <si>
    <t>Consulting Revenue</t>
  </si>
  <si>
    <t>Other Income</t>
  </si>
  <si>
    <t>TOTAL INFLOWS</t>
  </si>
  <si>
    <t>CASH OUTFLOWS</t>
  </si>
  <si>
    <t>Salaries &amp; Benefits</t>
  </si>
  <si>
    <t>Rent &amp; Utilities</t>
  </si>
  <si>
    <t>Marketing</t>
  </si>
  <si>
    <t>Technology</t>
  </si>
  <si>
    <t>Professional Services</t>
  </si>
  <si>
    <t>Other Expenses</t>
  </si>
  <si>
    <t>TOTAL OUTFLOWS</t>
  </si>
  <si>
    <t>NET CASH FLOW</t>
  </si>
  <si>
    <t>BEGINNING BALANCE</t>
  </si>
  <si>
    <t>ENDING BALANCE</t>
  </si>
  <si>
    <t>Monthly Expense Tracking</t>
  </si>
  <si>
    <t>Date</t>
  </si>
  <si>
    <t>Description</t>
  </si>
  <si>
    <t>Amount</t>
  </si>
  <si>
    <t>Payment Method</t>
  </si>
  <si>
    <t>Notes</t>
  </si>
  <si>
    <t>1/15/2025</t>
  </si>
  <si>
    <t>Office Rent</t>
  </si>
  <si>
    <t>Monthly office rent payment</t>
  </si>
  <si>
    <t>Bank Transfer</t>
  </si>
  <si>
    <t>Lease agreement</t>
  </si>
  <si>
    <t>1/16/2025</t>
  </si>
  <si>
    <t>Google Ads campaign</t>
  </si>
  <si>
    <t>Credit Card</t>
  </si>
  <si>
    <t>Q1 campaign</t>
  </si>
  <si>
    <t>1/17/2025</t>
  </si>
  <si>
    <t>Software subscriptions</t>
  </si>
  <si>
    <t>CRM and tools</t>
  </si>
  <si>
    <t>1/18/2025</t>
  </si>
  <si>
    <t>Legal consultation</t>
  </si>
  <si>
    <t>Check</t>
  </si>
  <si>
    <t>Contract review</t>
  </si>
  <si>
    <t>1/19/2025</t>
  </si>
  <si>
    <t>Utilities</t>
  </si>
  <si>
    <t>Internet and phone</t>
  </si>
  <si>
    <t>Auto Pay</t>
  </si>
  <si>
    <t>Monthly service</t>
  </si>
  <si>
    <t>1/20/2025</t>
  </si>
  <si>
    <t>Travel</t>
  </si>
  <si>
    <t>Client meeting travel</t>
  </si>
  <si>
    <t>Reimbursable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</si>
</sst>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Q6" sqref="Q6"/>
    </sheetView>
  </sheetViews>
  <sheetFormatPr defaultRowHeight="15" x14ac:dyDescent="0.25"/>
  <cols>
    <col min="1" max="1" width="20.7109375" customWidth="1"/>
    <col min="2" max="2" width="15.7109375" customWidth="1"/>
    <col min="3" max="3" width="16.28515625" customWidth="1"/>
    <col min="4" max="4" width="14.140625" customWidth="1"/>
    <col min="5" max="5" width="16" customWidth="1"/>
    <col min="6" max="6" width="13.140625" customWidth="1"/>
    <col min="7" max="7" width="15" customWidth="1"/>
    <col min="8" max="8" width="15.28515625" customWidth="1"/>
    <col min="9" max="9" width="14.28515625" customWidth="1"/>
    <col min="10" max="10" width="14" customWidth="1"/>
    <col min="11" max="11" width="15" customWidth="1"/>
    <col min="12" max="12" width="15.85546875" customWidth="1"/>
    <col min="13" max="13" width="14.85546875" customWidth="1"/>
    <col min="14" max="14" width="17.7109375" customWidth="1"/>
    <col min="15" max="15" width="14.85546875" customWidth="1"/>
  </cols>
  <sheetData>
    <row r="1" spans="1:15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ht="30" x14ac:dyDescent="0.25">
      <c r="A3" s="1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1" t="s">
        <v>15</v>
      </c>
    </row>
    <row r="4" spans="1:15" x14ac:dyDescent="0.25">
      <c r="A4" s="1" t="s">
        <v>16</v>
      </c>
    </row>
    <row r="5" spans="1:15" x14ac:dyDescent="0.25">
      <c r="A5" s="2" t="s">
        <v>17</v>
      </c>
      <c r="B5" s="2">
        <v>8000</v>
      </c>
      <c r="C5" s="2">
        <v>8500</v>
      </c>
      <c r="D5" s="2">
        <v>9000</v>
      </c>
      <c r="E5" s="2">
        <v>8200</v>
      </c>
      <c r="F5" s="2">
        <v>8800</v>
      </c>
      <c r="G5" s="2">
        <v>9200</v>
      </c>
      <c r="H5" s="2">
        <v>8600</v>
      </c>
      <c r="I5" s="2">
        <v>9100</v>
      </c>
      <c r="J5" s="2">
        <v>8900</v>
      </c>
      <c r="K5" s="2">
        <v>9300</v>
      </c>
      <c r="L5" s="2">
        <v>8700</v>
      </c>
      <c r="M5" s="2">
        <v>9000</v>
      </c>
      <c r="N5" s="2">
        <v>8800</v>
      </c>
      <c r="O5" s="2">
        <f>SUM(B5:N5)</f>
        <v>114100</v>
      </c>
    </row>
    <row r="6" spans="1:15" x14ac:dyDescent="0.25">
      <c r="A6" s="2" t="s">
        <v>18</v>
      </c>
      <c r="B6" s="2">
        <v>3000</v>
      </c>
      <c r="C6" s="2">
        <v>3200</v>
      </c>
      <c r="D6" s="2">
        <v>3100</v>
      </c>
      <c r="E6" s="2">
        <v>3300</v>
      </c>
      <c r="F6" s="2">
        <v>3000</v>
      </c>
      <c r="G6" s="2">
        <v>3400</v>
      </c>
      <c r="H6" s="2">
        <v>3200</v>
      </c>
      <c r="I6" s="2">
        <v>3100</v>
      </c>
      <c r="J6" s="2">
        <v>3300</v>
      </c>
      <c r="K6" s="2">
        <v>3000</v>
      </c>
      <c r="L6" s="2">
        <v>3200</v>
      </c>
      <c r="M6" s="2">
        <v>3100</v>
      </c>
      <c r="N6" s="2">
        <v>3200</v>
      </c>
      <c r="O6" s="2">
        <f>SUM(B6:N6)</f>
        <v>41100</v>
      </c>
    </row>
    <row r="7" spans="1:15" x14ac:dyDescent="0.25">
      <c r="A7" s="2" t="s">
        <v>19</v>
      </c>
      <c r="B7" s="2">
        <v>200</v>
      </c>
      <c r="C7" s="2">
        <v>150</v>
      </c>
      <c r="D7" s="2">
        <v>300</v>
      </c>
      <c r="E7" s="2">
        <v>100</v>
      </c>
      <c r="F7" s="2">
        <v>250</v>
      </c>
      <c r="G7" s="2">
        <v>180</v>
      </c>
      <c r="H7" s="2">
        <v>220</v>
      </c>
      <c r="I7" s="2">
        <v>160</v>
      </c>
      <c r="J7" s="2">
        <v>280</v>
      </c>
      <c r="K7" s="2">
        <v>120</v>
      </c>
      <c r="L7" s="2">
        <v>200</v>
      </c>
      <c r="M7" s="2">
        <v>190</v>
      </c>
      <c r="N7" s="2">
        <v>210</v>
      </c>
      <c r="O7" s="2">
        <f>SUM(B7:N7)</f>
        <v>2560</v>
      </c>
    </row>
    <row r="8" spans="1:15" x14ac:dyDescent="0.25">
      <c r="A8" s="1" t="s">
        <v>20</v>
      </c>
      <c r="B8" s="3">
        <f t="shared" ref="B8:N8" si="0">SUM(B5:B7)</f>
        <v>11200</v>
      </c>
      <c r="C8" s="3">
        <f t="shared" si="0"/>
        <v>11850</v>
      </c>
      <c r="D8" s="3">
        <f t="shared" si="0"/>
        <v>12400</v>
      </c>
      <c r="E8" s="3">
        <f t="shared" si="0"/>
        <v>11600</v>
      </c>
      <c r="F8" s="3">
        <f t="shared" si="0"/>
        <v>12050</v>
      </c>
      <c r="G8" s="3">
        <f t="shared" si="0"/>
        <v>12780</v>
      </c>
      <c r="H8" s="3">
        <f t="shared" si="0"/>
        <v>12020</v>
      </c>
      <c r="I8" s="3">
        <f t="shared" si="0"/>
        <v>12360</v>
      </c>
      <c r="J8" s="3">
        <f t="shared" si="0"/>
        <v>12480</v>
      </c>
      <c r="K8" s="3">
        <f t="shared" si="0"/>
        <v>12420</v>
      </c>
      <c r="L8" s="3">
        <f t="shared" si="0"/>
        <v>12100</v>
      </c>
      <c r="M8" s="3">
        <f t="shared" si="0"/>
        <v>12290</v>
      </c>
      <c r="N8" s="3">
        <f t="shared" si="0"/>
        <v>12210</v>
      </c>
      <c r="O8" s="3">
        <f>SUM(B8:N8)</f>
        <v>157760</v>
      </c>
    </row>
    <row r="9" spans="1:15" x14ac:dyDescent="0.25">
      <c r="A9" s="1" t="s">
        <v>21</v>
      </c>
    </row>
    <row r="10" spans="1:15" x14ac:dyDescent="0.25">
      <c r="A10" s="2" t="s">
        <v>22</v>
      </c>
      <c r="B10" s="2">
        <v>12000</v>
      </c>
      <c r="C10" s="2">
        <v>12000</v>
      </c>
      <c r="D10" s="2">
        <v>12000</v>
      </c>
      <c r="E10" s="2">
        <v>12000</v>
      </c>
      <c r="F10" s="2">
        <v>12000</v>
      </c>
      <c r="G10" s="2">
        <v>12000</v>
      </c>
      <c r="H10" s="2">
        <v>12000</v>
      </c>
      <c r="I10" s="2">
        <v>12000</v>
      </c>
      <c r="J10" s="2">
        <v>12000</v>
      </c>
      <c r="K10" s="2">
        <v>12000</v>
      </c>
      <c r="L10" s="2">
        <v>12000</v>
      </c>
      <c r="M10" s="2">
        <v>12000</v>
      </c>
      <c r="N10" s="2">
        <v>12000</v>
      </c>
      <c r="O10" s="2">
        <f>SUM(B10:N10)</f>
        <v>156000</v>
      </c>
    </row>
    <row r="11" spans="1:15" x14ac:dyDescent="0.25">
      <c r="A11" s="2" t="s">
        <v>23</v>
      </c>
      <c r="B11" s="2">
        <v>3500</v>
      </c>
      <c r="C11" s="2">
        <v>3500</v>
      </c>
      <c r="D11" s="2">
        <v>3500</v>
      </c>
      <c r="E11" s="2">
        <v>3500</v>
      </c>
      <c r="F11" s="2">
        <v>3500</v>
      </c>
      <c r="G11" s="2">
        <v>3500</v>
      </c>
      <c r="H11" s="2">
        <v>3500</v>
      </c>
      <c r="I11" s="2">
        <v>3500</v>
      </c>
      <c r="J11" s="2">
        <v>3500</v>
      </c>
      <c r="K11" s="2">
        <v>3500</v>
      </c>
      <c r="L11" s="2">
        <v>3500</v>
      </c>
      <c r="M11" s="2">
        <v>3500</v>
      </c>
      <c r="N11" s="2">
        <v>3500</v>
      </c>
      <c r="O11" s="2">
        <f>SUM(B11:N11)</f>
        <v>45500</v>
      </c>
    </row>
    <row r="12" spans="1:15" x14ac:dyDescent="0.25">
      <c r="A12" s="2" t="s">
        <v>24</v>
      </c>
      <c r="B12" s="2">
        <v>2000</v>
      </c>
      <c r="C12" s="2">
        <v>2200</v>
      </c>
      <c r="D12" s="2">
        <v>1800</v>
      </c>
      <c r="E12" s="2">
        <v>2100</v>
      </c>
      <c r="F12" s="2">
        <v>1900</v>
      </c>
      <c r="G12" s="2">
        <v>2300</v>
      </c>
      <c r="H12" s="2">
        <v>2000</v>
      </c>
      <c r="I12" s="2">
        <v>1800</v>
      </c>
      <c r="J12" s="2">
        <v>2200</v>
      </c>
      <c r="K12" s="2">
        <v>1900</v>
      </c>
      <c r="L12" s="2">
        <v>2100</v>
      </c>
      <c r="M12" s="2">
        <v>2000</v>
      </c>
      <c r="N12" s="2">
        <v>2000</v>
      </c>
      <c r="O12" s="2">
        <f t="shared" ref="O12:O15" si="1">SUM(B12:N12)</f>
        <v>26300</v>
      </c>
    </row>
    <row r="13" spans="1:15" x14ac:dyDescent="0.25">
      <c r="A13" s="2" t="s">
        <v>25</v>
      </c>
      <c r="B13" s="2">
        <v>800</v>
      </c>
      <c r="C13" s="2">
        <v>800</v>
      </c>
      <c r="D13" s="2">
        <v>800</v>
      </c>
      <c r="E13" s="2">
        <v>800</v>
      </c>
      <c r="F13" s="2">
        <v>800</v>
      </c>
      <c r="G13" s="2">
        <v>800</v>
      </c>
      <c r="H13" s="2">
        <v>800</v>
      </c>
      <c r="I13" s="2">
        <v>800</v>
      </c>
      <c r="J13" s="2">
        <v>800</v>
      </c>
      <c r="K13" s="2">
        <v>800</v>
      </c>
      <c r="L13" s="2">
        <v>800</v>
      </c>
      <c r="M13" s="2">
        <v>800</v>
      </c>
      <c r="N13" s="2">
        <v>800</v>
      </c>
      <c r="O13" s="2">
        <f t="shared" si="1"/>
        <v>10400</v>
      </c>
    </row>
    <row r="14" spans="1:15" x14ac:dyDescent="0.25">
      <c r="A14" s="2" t="s">
        <v>26</v>
      </c>
      <c r="B14" s="2">
        <v>1500</v>
      </c>
      <c r="C14" s="2">
        <v>1200</v>
      </c>
      <c r="D14" s="2">
        <v>1800</v>
      </c>
      <c r="E14" s="2">
        <v>1000</v>
      </c>
      <c r="F14" s="2">
        <v>1600</v>
      </c>
      <c r="G14" s="2">
        <v>1300</v>
      </c>
      <c r="H14" s="2">
        <v>1700</v>
      </c>
      <c r="I14" s="2">
        <v>1100</v>
      </c>
      <c r="J14" s="2">
        <v>1500</v>
      </c>
      <c r="K14" s="2">
        <v>1400</v>
      </c>
      <c r="L14" s="2">
        <v>1200</v>
      </c>
      <c r="M14" s="2">
        <v>1600</v>
      </c>
      <c r="N14" s="2">
        <v>1400</v>
      </c>
      <c r="O14" s="2">
        <f t="shared" si="1"/>
        <v>18300</v>
      </c>
    </row>
    <row r="15" spans="1:15" x14ac:dyDescent="0.25">
      <c r="A15" s="2" t="s">
        <v>27</v>
      </c>
      <c r="B15" s="2">
        <v>500</v>
      </c>
      <c r="C15" s="2">
        <v>600</v>
      </c>
      <c r="D15" s="2">
        <v>400</v>
      </c>
      <c r="E15" s="2">
        <v>700</v>
      </c>
      <c r="F15" s="2">
        <v>450</v>
      </c>
      <c r="G15" s="2">
        <v>650</v>
      </c>
      <c r="H15" s="2">
        <v>550</v>
      </c>
      <c r="I15" s="2">
        <v>480</v>
      </c>
      <c r="J15" s="2">
        <v>620</v>
      </c>
      <c r="K15" s="2">
        <v>520</v>
      </c>
      <c r="L15" s="2">
        <v>580</v>
      </c>
      <c r="M15" s="2">
        <v>460</v>
      </c>
      <c r="N15" s="2">
        <v>540</v>
      </c>
      <c r="O15" s="2">
        <f t="shared" si="1"/>
        <v>7050</v>
      </c>
    </row>
    <row r="16" spans="1:15" x14ac:dyDescent="0.25">
      <c r="A16" s="1" t="s">
        <v>28</v>
      </c>
      <c r="B16" s="3">
        <f t="shared" ref="B16:N16" si="2">SUM(B10:B15)</f>
        <v>20300</v>
      </c>
      <c r="C16" s="3">
        <f t="shared" si="2"/>
        <v>20300</v>
      </c>
      <c r="D16" s="3">
        <f t="shared" si="2"/>
        <v>20300</v>
      </c>
      <c r="E16" s="3">
        <f t="shared" si="2"/>
        <v>20100</v>
      </c>
      <c r="F16" s="3">
        <f t="shared" si="2"/>
        <v>20250</v>
      </c>
      <c r="G16" s="3">
        <f t="shared" si="2"/>
        <v>20550</v>
      </c>
      <c r="H16" s="3">
        <f t="shared" si="2"/>
        <v>20550</v>
      </c>
      <c r="I16" s="3">
        <f t="shared" si="2"/>
        <v>19680</v>
      </c>
      <c r="J16" s="3">
        <f t="shared" si="2"/>
        <v>20620</v>
      </c>
      <c r="K16" s="3">
        <f t="shared" si="2"/>
        <v>20120</v>
      </c>
      <c r="L16" s="3">
        <f t="shared" si="2"/>
        <v>20180</v>
      </c>
      <c r="M16" s="3">
        <f t="shared" si="2"/>
        <v>20360</v>
      </c>
      <c r="N16" s="3">
        <f t="shared" si="2"/>
        <v>20240</v>
      </c>
      <c r="O16" s="3">
        <f>SUM(B16:N16)</f>
        <v>263550</v>
      </c>
    </row>
    <row r="17" spans="1:15" x14ac:dyDescent="0.25">
      <c r="A17" s="1" t="s">
        <v>29</v>
      </c>
      <c r="B17" s="3">
        <f>B8-B16</f>
        <v>-9100</v>
      </c>
      <c r="C17" s="3">
        <f>B8-B16</f>
        <v>-9100</v>
      </c>
      <c r="D17" s="3">
        <f>B8-B16</f>
        <v>-9100</v>
      </c>
      <c r="E17" s="3">
        <f>B8-B16</f>
        <v>-9100</v>
      </c>
      <c r="F17" s="3">
        <f>B8-B16</f>
        <v>-9100</v>
      </c>
      <c r="G17" s="3">
        <f>B8-B16</f>
        <v>-9100</v>
      </c>
      <c r="H17" s="3">
        <f>B8-B16</f>
        <v>-9100</v>
      </c>
      <c r="I17" s="3">
        <f>B8-B16</f>
        <v>-9100</v>
      </c>
      <c r="J17" s="3">
        <f>B8-B16</f>
        <v>-9100</v>
      </c>
      <c r="K17" s="3">
        <f>B8-B16</f>
        <v>-9100</v>
      </c>
      <c r="L17" s="3">
        <f>B8-B16</f>
        <v>-9100</v>
      </c>
      <c r="M17" s="3">
        <f>B8-B16</f>
        <v>-9100</v>
      </c>
      <c r="N17" s="3">
        <f>B8-B16</f>
        <v>-9100</v>
      </c>
      <c r="O17" s="3">
        <f>SUM(B17:N17)</f>
        <v>-118300</v>
      </c>
    </row>
    <row r="18" spans="1:15" x14ac:dyDescent="0.25">
      <c r="A18" s="1" t="s">
        <v>30</v>
      </c>
      <c r="B18" s="2">
        <v>25000</v>
      </c>
      <c r="C18" s="2">
        <f t="shared" ref="C18:N18" si="3">B19</f>
        <v>15900</v>
      </c>
      <c r="D18" s="2">
        <f t="shared" si="3"/>
        <v>15900</v>
      </c>
      <c r="E18" s="2">
        <f t="shared" si="3"/>
        <v>15900</v>
      </c>
      <c r="F18" s="2">
        <f t="shared" si="3"/>
        <v>15900</v>
      </c>
      <c r="G18" s="2">
        <f t="shared" si="3"/>
        <v>15900</v>
      </c>
      <c r="H18" s="2">
        <f t="shared" si="3"/>
        <v>15900</v>
      </c>
      <c r="I18" s="2">
        <f t="shared" si="3"/>
        <v>15900</v>
      </c>
      <c r="J18" s="2">
        <f t="shared" si="3"/>
        <v>15900</v>
      </c>
      <c r="K18" s="2">
        <f t="shared" si="3"/>
        <v>15900</v>
      </c>
      <c r="L18" s="2">
        <f t="shared" si="3"/>
        <v>15900</v>
      </c>
      <c r="M18" s="2">
        <f t="shared" si="3"/>
        <v>15900</v>
      </c>
      <c r="N18" s="2">
        <f t="shared" si="3"/>
        <v>15900</v>
      </c>
    </row>
    <row r="19" spans="1:15" x14ac:dyDescent="0.25">
      <c r="A19" s="1" t="s">
        <v>31</v>
      </c>
      <c r="B19" s="3">
        <f>B18+B17</f>
        <v>15900</v>
      </c>
      <c r="C19" s="3">
        <f>B18+B17</f>
        <v>15900</v>
      </c>
      <c r="D19" s="3">
        <f>B18+B17</f>
        <v>15900</v>
      </c>
      <c r="E19" s="3">
        <f>B18+B17</f>
        <v>15900</v>
      </c>
      <c r="F19" s="3">
        <f>B18+B17</f>
        <v>15900</v>
      </c>
      <c r="G19" s="3">
        <f>B18+B17</f>
        <v>15900</v>
      </c>
      <c r="H19" s="3">
        <f>B18+B17</f>
        <v>15900</v>
      </c>
      <c r="I19" s="3">
        <f>B18+B17</f>
        <v>15900</v>
      </c>
      <c r="J19" s="3">
        <f>B18+B17</f>
        <v>15900</v>
      </c>
      <c r="K19" s="3">
        <f>B18+B17</f>
        <v>15900</v>
      </c>
      <c r="L19" s="3">
        <f>B18+B17</f>
        <v>15900</v>
      </c>
      <c r="M19" s="3">
        <f>B18+B17</f>
        <v>15900</v>
      </c>
      <c r="N19" s="3">
        <f>B18+B17</f>
        <v>15900</v>
      </c>
    </row>
  </sheetData>
  <mergeCells count="1">
    <mergeCell ref="A1:O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D17" sqref="D17"/>
    </sheetView>
  </sheetViews>
  <sheetFormatPr defaultRowHeight="15" x14ac:dyDescent="0.25"/>
  <cols>
    <col min="1" max="1" width="12.7109375" customWidth="1"/>
    <col min="2" max="2" width="22.28515625" customWidth="1"/>
    <col min="3" max="3" width="32.42578125" customWidth="1"/>
    <col min="4" max="4" width="12.7109375" customWidth="1"/>
    <col min="5" max="5" width="22.28515625" customWidth="1"/>
    <col min="6" max="6" width="21.42578125" customWidth="1"/>
  </cols>
  <sheetData>
    <row r="1" spans="1:6" x14ac:dyDescent="0.25">
      <c r="A1" s="5" t="s">
        <v>32</v>
      </c>
      <c r="B1" s="5"/>
      <c r="C1" s="5"/>
      <c r="D1" s="5"/>
      <c r="E1" s="5"/>
      <c r="F1" s="5"/>
    </row>
    <row r="3" spans="1:6" x14ac:dyDescent="0.25">
      <c r="A3" s="1" t="s">
        <v>33</v>
      </c>
      <c r="B3" s="1" t="s">
        <v>1</v>
      </c>
      <c r="C3" s="1" t="s">
        <v>34</v>
      </c>
      <c r="D3" s="1" t="s">
        <v>35</v>
      </c>
      <c r="E3" s="1" t="s">
        <v>36</v>
      </c>
      <c r="F3" s="1" t="s">
        <v>37</v>
      </c>
    </row>
    <row r="4" spans="1:6" x14ac:dyDescent="0.25">
      <c r="A4" s="4" t="s">
        <v>38</v>
      </c>
      <c r="B4" s="2" t="s">
        <v>39</v>
      </c>
      <c r="C4" s="2" t="s">
        <v>40</v>
      </c>
      <c r="D4" s="2">
        <v>2500</v>
      </c>
      <c r="E4" s="2" t="s">
        <v>41</v>
      </c>
      <c r="F4" s="2" t="s">
        <v>42</v>
      </c>
    </row>
    <row r="5" spans="1:6" x14ac:dyDescent="0.25">
      <c r="A5" s="4" t="s">
        <v>43</v>
      </c>
      <c r="B5" s="2" t="s">
        <v>24</v>
      </c>
      <c r="C5" s="2" t="s">
        <v>44</v>
      </c>
      <c r="D5" s="2">
        <v>800</v>
      </c>
      <c r="E5" s="2" t="s">
        <v>45</v>
      </c>
      <c r="F5" s="2" t="s">
        <v>46</v>
      </c>
    </row>
    <row r="6" spans="1:6" x14ac:dyDescent="0.25">
      <c r="A6" s="4" t="s">
        <v>47</v>
      </c>
      <c r="B6" s="2" t="s">
        <v>25</v>
      </c>
      <c r="C6" s="2" t="s">
        <v>48</v>
      </c>
      <c r="D6" s="2">
        <v>450</v>
      </c>
      <c r="E6" s="2" t="s">
        <v>45</v>
      </c>
      <c r="F6" s="2" t="s">
        <v>49</v>
      </c>
    </row>
    <row r="7" spans="1:6" x14ac:dyDescent="0.25">
      <c r="A7" s="4" t="s">
        <v>50</v>
      </c>
      <c r="B7" s="2" t="s">
        <v>26</v>
      </c>
      <c r="C7" s="2" t="s">
        <v>51</v>
      </c>
      <c r="D7" s="2">
        <v>600</v>
      </c>
      <c r="E7" s="2" t="s">
        <v>52</v>
      </c>
      <c r="F7" s="2" t="s">
        <v>53</v>
      </c>
    </row>
    <row r="8" spans="1:6" x14ac:dyDescent="0.25">
      <c r="A8" s="4" t="s">
        <v>54</v>
      </c>
      <c r="B8" s="2" t="s">
        <v>55</v>
      </c>
      <c r="C8" s="2" t="s">
        <v>56</v>
      </c>
      <c r="D8" s="2">
        <v>200</v>
      </c>
      <c r="E8" s="2" t="s">
        <v>57</v>
      </c>
      <c r="F8" s="2" t="s">
        <v>58</v>
      </c>
    </row>
    <row r="9" spans="1:6" x14ac:dyDescent="0.25">
      <c r="A9" s="4" t="s">
        <v>59</v>
      </c>
      <c r="B9" s="2" t="s">
        <v>60</v>
      </c>
      <c r="C9" s="2" t="s">
        <v>61</v>
      </c>
      <c r="D9" s="2">
        <v>150</v>
      </c>
      <c r="E9" s="2" t="s">
        <v>45</v>
      </c>
      <c r="F9" s="2" t="s">
        <v>62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Forecast</vt:lpstr>
      <vt:lpstr>Expense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2025-07-09T07:58:50Z</dcterms:created>
  <dcterms:modified xsi:type="dcterms:W3CDTF">2025-07-25T06:57:00Z</dcterms:modified>
</cp:coreProperties>
</file>