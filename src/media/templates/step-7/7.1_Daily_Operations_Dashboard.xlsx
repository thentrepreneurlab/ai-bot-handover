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7 Templates/"/>
    </mc:Choice>
  </mc:AlternateContent>
  <xr:revisionPtr revIDLastSave="11" documentId="11_45D2110F1B135387A8C0B2AEBDB4CB2C64FBB7FF" xr6:coauthVersionLast="47" xr6:coauthVersionMax="47" xr10:uidLastSave="{06161D75-6D67-4FCA-A67F-8F3108464FCF}"/>
  <bookViews>
    <workbookView xWindow="28680" yWindow="1830" windowWidth="29040" windowHeight="15840" activeTab="1" xr2:uid="{00000000-000D-0000-FFFF-FFFF00000000}"/>
  </bookViews>
  <sheets>
    <sheet name="Operations Dashboard" sheetId="1" r:id="rId1"/>
    <sheet name="Weekl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E11" i="1"/>
  <c r="D11" i="1"/>
  <c r="D9" i="1"/>
  <c r="D7" i="1"/>
  <c r="D6" i="1"/>
  <c r="G11" i="1"/>
  <c r="G10" i="1"/>
  <c r="E10" i="1"/>
  <c r="D10" i="1"/>
  <c r="G9" i="1"/>
  <c r="E9" i="1"/>
  <c r="G8" i="1"/>
  <c r="E8" i="1"/>
  <c r="D8" i="1"/>
  <c r="G7" i="1"/>
  <c r="E7" i="1"/>
  <c r="E6" i="1"/>
</calcChain>
</file>

<file path=xl/sharedStrings.xml><?xml version="1.0" encoding="utf-8"?>
<sst xmlns="http://schemas.openxmlformats.org/spreadsheetml/2006/main" count="46" uniqueCount="42">
  <si>
    <t>Daily Operations Dashboard</t>
  </si>
  <si>
    <t>TODAY'S KEY METRICS</t>
  </si>
  <si>
    <t>Metric</t>
  </si>
  <si>
    <t>Target</t>
  </si>
  <si>
    <t>Actual</t>
  </si>
  <si>
    <t>Variance</t>
  </si>
  <si>
    <t>Status</t>
  </si>
  <si>
    <t>Last Week</t>
  </si>
  <si>
    <t>Trend</t>
  </si>
  <si>
    <t>Notes</t>
  </si>
  <si>
    <t>Revenue</t>
  </si>
  <si>
    <t>Above target</t>
  </si>
  <si>
    <t>New Customers</t>
  </si>
  <si>
    <t>Strong day</t>
  </si>
  <si>
    <t>Customer Calls</t>
  </si>
  <si>
    <t>High activity</t>
  </si>
  <si>
    <t>Support Tickets</t>
  </si>
  <si>
    <t>Below target (good)</t>
  </si>
  <si>
    <t>Team Productivity</t>
  </si>
  <si>
    <t>Excellent performance</t>
  </si>
  <si>
    <t>Cash Balance</t>
  </si>
  <si>
    <t>Healthy position</t>
  </si>
  <si>
    <t>Weekly Operations Summary</t>
  </si>
  <si>
    <t>Week Ending</t>
  </si>
  <si>
    <t>Customer Satisfaction</t>
  </si>
  <si>
    <t>Issues Resolved</t>
  </si>
  <si>
    <t>05/21/2025</t>
  </si>
  <si>
    <t>Week 1 performance</t>
  </si>
  <si>
    <t>05/28/2025</t>
  </si>
  <si>
    <t>Week 2 performance</t>
  </si>
  <si>
    <t>06/04/2025</t>
  </si>
  <si>
    <t>Week 3 performance</t>
  </si>
  <si>
    <t>06/11/2025</t>
  </si>
  <si>
    <t>Week 4 performance</t>
  </si>
  <si>
    <t>06/18/2025</t>
  </si>
  <si>
    <t>Week 5 performance</t>
  </si>
  <si>
    <t>06/25/2025</t>
  </si>
  <si>
    <t>Week 6 performance</t>
  </si>
  <si>
    <t>07/02/2025</t>
  </si>
  <si>
    <t>Week 7 performance</t>
  </si>
  <si>
    <t>07/09/2025</t>
  </si>
  <si>
    <t>Week 8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</si>
</sst>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L8" sqref="L8"/>
    </sheetView>
  </sheetViews>
  <sheetFormatPr defaultRowHeight="15" x14ac:dyDescent="0.25"/>
  <cols>
    <col min="1" max="1" width="20.7109375" customWidth="1"/>
    <col min="2" max="6" width="12.7109375" customWidth="1"/>
    <col min="7" max="7" width="8.7109375" customWidth="1"/>
    <col min="8" max="8" width="20.7109375" customWidth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3" spans="1:8" x14ac:dyDescent="0.25">
      <c r="A3" s="7" t="s">
        <v>1</v>
      </c>
      <c r="B3" s="7"/>
      <c r="C3" s="7"/>
      <c r="D3" s="7"/>
      <c r="E3" s="7"/>
      <c r="F3" s="7"/>
      <c r="G3" s="7"/>
      <c r="H3" s="7"/>
    </row>
    <row r="5" spans="1:8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x14ac:dyDescent="0.25">
      <c r="A6" s="2" t="s">
        <v>10</v>
      </c>
      <c r="B6" s="3">
        <v>1000</v>
      </c>
      <c r="C6" s="3">
        <v>1150</v>
      </c>
      <c r="D6" s="3">
        <f>C6-B6</f>
        <v>150</v>
      </c>
      <c r="E6" s="2" t="str">
        <f>IF(C6&gt;=B6,"✓","⚠")</f>
        <v>✓</v>
      </c>
      <c r="F6" s="3">
        <v>950</v>
      </c>
      <c r="G6" s="2" t="str">
        <f>IF(C6&gt;F6,"↗","↘")</f>
        <v>↗</v>
      </c>
      <c r="H6" s="2" t="s">
        <v>11</v>
      </c>
    </row>
    <row r="7" spans="1:8" x14ac:dyDescent="0.25">
      <c r="A7" s="2" t="s">
        <v>12</v>
      </c>
      <c r="B7" s="4">
        <v>3</v>
      </c>
      <c r="C7" s="4">
        <v>4</v>
      </c>
      <c r="D7" s="4">
        <f>C7-B7</f>
        <v>1</v>
      </c>
      <c r="E7" s="2" t="str">
        <f>IF(C7&gt;=B7,"✓","⚠")</f>
        <v>✓</v>
      </c>
      <c r="F7" s="4">
        <v>2</v>
      </c>
      <c r="G7" s="2" t="str">
        <f>IF(C7&gt;F7,"↗","↘")</f>
        <v>↗</v>
      </c>
      <c r="H7" s="2" t="s">
        <v>13</v>
      </c>
    </row>
    <row r="8" spans="1:8" x14ac:dyDescent="0.25">
      <c r="A8" s="2" t="s">
        <v>14</v>
      </c>
      <c r="B8" s="4">
        <v>25</v>
      </c>
      <c r="C8" s="4">
        <v>28</v>
      </c>
      <c r="D8" s="4">
        <f t="shared" ref="D6:D11" si="0">C8-B8</f>
        <v>3</v>
      </c>
      <c r="E8" s="2" t="str">
        <f>IF(C8&gt;=B8,"✓","⚠")</f>
        <v>✓</v>
      </c>
      <c r="F8" s="4">
        <v>22</v>
      </c>
      <c r="G8" s="2" t="str">
        <f>IF(C8&gt;F8,"↗","↘")</f>
        <v>↗</v>
      </c>
      <c r="H8" s="2" t="s">
        <v>15</v>
      </c>
    </row>
    <row r="9" spans="1:8" x14ac:dyDescent="0.25">
      <c r="A9" s="2" t="s">
        <v>16</v>
      </c>
      <c r="B9" s="4">
        <v>8</v>
      </c>
      <c r="C9" s="4">
        <v>6</v>
      </c>
      <c r="D9" s="4">
        <f>C9-B9</f>
        <v>-2</v>
      </c>
      <c r="E9" s="2" t="str">
        <f>IF(C9&lt;=B9,"✓","⚠")</f>
        <v>✓</v>
      </c>
      <c r="F9" s="4">
        <v>10</v>
      </c>
      <c r="G9" s="2" t="str">
        <f>IF(C9&lt;F9,"↗","↘")</f>
        <v>↗</v>
      </c>
      <c r="H9" s="2" t="s">
        <v>17</v>
      </c>
    </row>
    <row r="10" spans="1:8" x14ac:dyDescent="0.25">
      <c r="A10" s="2" t="s">
        <v>18</v>
      </c>
      <c r="B10" s="5">
        <v>0.85</v>
      </c>
      <c r="C10" s="5">
        <v>0.92</v>
      </c>
      <c r="D10" s="5">
        <f t="shared" si="0"/>
        <v>7.0000000000000062E-2</v>
      </c>
      <c r="E10" s="2" t="str">
        <f>IF(C10&gt;=B10,"✓","⚠")</f>
        <v>✓</v>
      </c>
      <c r="F10" s="5">
        <v>0.88</v>
      </c>
      <c r="G10" s="2" t="str">
        <f>IF(C10&gt;F10,"↗","↘")</f>
        <v>↗</v>
      </c>
      <c r="H10" s="2" t="s">
        <v>19</v>
      </c>
    </row>
    <row r="11" spans="1:8" x14ac:dyDescent="0.25">
      <c r="A11" s="2" t="s">
        <v>20</v>
      </c>
      <c r="B11" s="3">
        <v>25000</v>
      </c>
      <c r="C11" s="3">
        <v>27500</v>
      </c>
      <c r="D11" s="3">
        <f>C11-B11</f>
        <v>2500</v>
      </c>
      <c r="E11" s="2" t="str">
        <f>IF(C11&gt;=B11,"✓","⚠")</f>
        <v>✓</v>
      </c>
      <c r="F11" s="3">
        <v>24000</v>
      </c>
      <c r="G11" s="2" t="str">
        <f>IF(C11&gt;F11,"↗","↘")</f>
        <v>↗</v>
      </c>
      <c r="H11" s="2" t="s">
        <v>21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C26" sqref="C26"/>
    </sheetView>
  </sheetViews>
  <sheetFormatPr defaultRowHeight="15" x14ac:dyDescent="0.25"/>
  <cols>
    <col min="1" max="3" width="15.7109375" customWidth="1"/>
    <col min="4" max="4" width="26.28515625" customWidth="1"/>
    <col min="5" max="5" width="19.85546875" customWidth="1"/>
    <col min="6" max="6" width="15.7109375" customWidth="1"/>
    <col min="7" max="7" width="35.140625" customWidth="1"/>
  </cols>
  <sheetData>
    <row r="1" spans="1:7" x14ac:dyDescent="0.25">
      <c r="A1" s="6" t="s">
        <v>22</v>
      </c>
      <c r="B1" s="6"/>
      <c r="C1" s="6"/>
      <c r="D1" s="6"/>
      <c r="E1" s="6"/>
      <c r="F1" s="6"/>
      <c r="G1" s="6"/>
    </row>
    <row r="3" spans="1:7" x14ac:dyDescent="0.25">
      <c r="A3" s="1" t="s">
        <v>23</v>
      </c>
      <c r="B3" s="1" t="s">
        <v>10</v>
      </c>
      <c r="C3" s="1" t="s">
        <v>12</v>
      </c>
      <c r="D3" s="1" t="s">
        <v>24</v>
      </c>
      <c r="E3" s="1" t="s">
        <v>18</v>
      </c>
      <c r="F3" s="1" t="s">
        <v>25</v>
      </c>
      <c r="G3" s="1" t="s">
        <v>9</v>
      </c>
    </row>
    <row r="4" spans="1:7" x14ac:dyDescent="0.25">
      <c r="A4" s="2" t="s">
        <v>26</v>
      </c>
      <c r="B4" s="3">
        <v>8200</v>
      </c>
      <c r="C4" s="4">
        <v>21</v>
      </c>
      <c r="D4" s="2">
        <v>8.8000000000000007</v>
      </c>
      <c r="E4" s="5">
        <v>1</v>
      </c>
      <c r="F4" s="4">
        <v>31</v>
      </c>
      <c r="G4" s="2" t="s">
        <v>27</v>
      </c>
    </row>
    <row r="5" spans="1:7" x14ac:dyDescent="0.25">
      <c r="A5" s="2" t="s">
        <v>28</v>
      </c>
      <c r="B5" s="3">
        <v>7700</v>
      </c>
      <c r="C5" s="4">
        <v>20</v>
      </c>
      <c r="D5" s="2">
        <v>8.5</v>
      </c>
      <c r="E5" s="5">
        <v>0.95</v>
      </c>
      <c r="F5" s="4">
        <v>33</v>
      </c>
      <c r="G5" s="2" t="s">
        <v>29</v>
      </c>
    </row>
    <row r="6" spans="1:7" x14ac:dyDescent="0.25">
      <c r="A6" s="2" t="s">
        <v>30</v>
      </c>
      <c r="B6" s="3">
        <v>8100</v>
      </c>
      <c r="C6" s="4">
        <v>19</v>
      </c>
      <c r="D6" s="2">
        <v>9.1</v>
      </c>
      <c r="E6" s="5">
        <v>0.9</v>
      </c>
      <c r="F6" s="4">
        <v>35</v>
      </c>
      <c r="G6" s="2" t="s">
        <v>31</v>
      </c>
    </row>
    <row r="7" spans="1:7" x14ac:dyDescent="0.25">
      <c r="A7" s="2" t="s">
        <v>32</v>
      </c>
      <c r="B7" s="3">
        <v>7600</v>
      </c>
      <c r="C7" s="4">
        <v>18</v>
      </c>
      <c r="D7" s="2">
        <v>8.8000000000000007</v>
      </c>
      <c r="E7" s="5">
        <v>0.85</v>
      </c>
      <c r="F7" s="4">
        <v>37</v>
      </c>
      <c r="G7" s="2" t="s">
        <v>33</v>
      </c>
    </row>
    <row r="8" spans="1:7" x14ac:dyDescent="0.25">
      <c r="A8" s="2" t="s">
        <v>34</v>
      </c>
      <c r="B8" s="3">
        <v>7100</v>
      </c>
      <c r="C8" s="4">
        <v>21</v>
      </c>
      <c r="D8" s="2">
        <v>8.5</v>
      </c>
      <c r="E8" s="5">
        <v>1</v>
      </c>
      <c r="F8" s="4">
        <v>39</v>
      </c>
      <c r="G8" s="2" t="s">
        <v>35</v>
      </c>
    </row>
    <row r="9" spans="1:7" x14ac:dyDescent="0.25">
      <c r="A9" s="2" t="s">
        <v>36</v>
      </c>
      <c r="B9" s="3">
        <v>7500</v>
      </c>
      <c r="C9" s="4">
        <v>20</v>
      </c>
      <c r="D9" s="2">
        <v>9.1</v>
      </c>
      <c r="E9" s="5">
        <v>0.95</v>
      </c>
      <c r="F9" s="4">
        <v>41</v>
      </c>
      <c r="G9" s="2" t="s">
        <v>37</v>
      </c>
    </row>
    <row r="10" spans="1:7" x14ac:dyDescent="0.25">
      <c r="A10" s="2" t="s">
        <v>38</v>
      </c>
      <c r="B10" s="3">
        <v>7000</v>
      </c>
      <c r="C10" s="4">
        <v>19</v>
      </c>
      <c r="D10" s="2">
        <v>8.8000000000000007</v>
      </c>
      <c r="E10" s="5">
        <v>0.9</v>
      </c>
      <c r="F10" s="4">
        <v>43</v>
      </c>
      <c r="G10" s="2" t="s">
        <v>39</v>
      </c>
    </row>
    <row r="11" spans="1:7" x14ac:dyDescent="0.25">
      <c r="A11" s="2" t="s">
        <v>40</v>
      </c>
      <c r="B11" s="3">
        <v>6500</v>
      </c>
      <c r="C11" s="4">
        <v>18</v>
      </c>
      <c r="D11" s="2">
        <v>8.5</v>
      </c>
      <c r="E11" s="5">
        <v>0.85</v>
      </c>
      <c r="F11" s="4">
        <v>45</v>
      </c>
      <c r="G11" s="2" t="s">
        <v>41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Operations Dashboard</vt:lpstr>
      <vt:lpstr>Weekly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2025-07-09T07:58:50Z</dcterms:created>
  <dcterms:modified xsi:type="dcterms:W3CDTF">2025-07-16T07:14:14Z</dcterms:modified>
</cp:coreProperties>
</file>