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15d220c0e92c484d/Documents/"/>
    </mc:Choice>
  </mc:AlternateContent>
  <xr:revisionPtr revIDLastSave="0" documentId="13_ncr:20001_{154B9A7B-2788-47AE-B052-D34019513424}" xr6:coauthVersionLast="47" xr6:coauthVersionMax="47" xr10:uidLastSave="{00000000-0000-0000-0000-000000000000}"/>
  <bookViews>
    <workbookView xWindow="28680" yWindow="1830" windowWidth="29040" windowHeight="15840" firstSheet="5" activeTab="11" xr2:uid="{00000000-000D-0000-FFFF-FFFF00000000}"/>
  </bookViews>
  <sheets>
    <sheet name="MVP Strategy Canvas" sheetId="1" r:id="rId1"/>
    <sheet name="Business Model Canvas" sheetId="2" r:id="rId2"/>
    <sheet name="Assumption Mapping" sheetId="3" r:id="rId3"/>
    <sheet name="Feature Prioritization" sheetId="4" r:id="rId4"/>
    <sheet name="Customer Interviews" sheetId="5" r:id="rId5"/>
    <sheet name="Metrics Dashboard" sheetId="6" r:id="rId6"/>
    <sheet name="Testing Methods" sheetId="7" r:id="rId7"/>
    <sheet name="Customer Journey" sheetId="8" r:id="rId8"/>
    <sheet name="Sprint Planning" sheetId="9" r:id="rId9"/>
    <sheet name="Launch Checklist" sheetId="10" r:id="rId10"/>
    <sheet name="Weekly Review" sheetId="11" r:id="rId11"/>
    <sheet name="Pivot Decision" sheetId="12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5" l="1"/>
  <c r="B30" i="5"/>
  <c r="B29" i="5"/>
  <c r="F36" i="12"/>
  <c r="F35" i="12"/>
  <c r="F34" i="12"/>
  <c r="F33" i="12"/>
  <c r="F32" i="12"/>
  <c r="F31" i="12"/>
  <c r="D14" i="11"/>
  <c r="D13" i="11"/>
  <c r="D12" i="11"/>
  <c r="D11" i="11"/>
  <c r="D10" i="11"/>
  <c r="D9" i="11"/>
  <c r="D8" i="11"/>
  <c r="D7" i="11"/>
  <c r="E35" i="6"/>
  <c r="E34" i="6"/>
  <c r="E33" i="6"/>
  <c r="E32" i="6"/>
  <c r="E31" i="6"/>
  <c r="E27" i="6"/>
  <c r="E26" i="6"/>
  <c r="E25" i="6"/>
  <c r="E24" i="6"/>
  <c r="E23" i="6"/>
  <c r="E19" i="6"/>
  <c r="E18" i="6"/>
  <c r="E17" i="6"/>
  <c r="E16" i="6"/>
  <c r="E15" i="6"/>
  <c r="E11" i="6"/>
  <c r="E10" i="6"/>
  <c r="E9" i="6"/>
  <c r="E8" i="6"/>
  <c r="E7" i="6"/>
  <c r="B28" i="5"/>
  <c r="G15" i="4"/>
  <c r="H15" i="4" s="1"/>
  <c r="H14" i="4"/>
  <c r="G14" i="4"/>
  <c r="G13" i="4"/>
  <c r="H13" i="4" s="1"/>
  <c r="H12" i="4"/>
  <c r="G12" i="4"/>
  <c r="G11" i="4"/>
  <c r="H11" i="4" s="1"/>
  <c r="H10" i="4"/>
  <c r="G10" i="4"/>
  <c r="G9" i="4"/>
  <c r="H9" i="4" s="1"/>
  <c r="H8" i="4"/>
  <c r="G8" i="4"/>
  <c r="G7" i="4"/>
  <c r="H7" i="4" s="1"/>
  <c r="H6" i="4"/>
  <c r="G6" i="4"/>
</calcChain>
</file>

<file path=xl/sharedStrings.xml><?xml version="1.0" encoding="utf-8"?>
<sst xmlns="http://schemas.openxmlformats.org/spreadsheetml/2006/main" count="1097" uniqueCount="507">
  <si>
    <t>MVP Strategy Canvas</t>
  </si>
  <si>
    <t>Project Name:</t>
  </si>
  <si>
    <t>Date:</t>
  </si>
  <si>
    <t>Team Members:</t>
  </si>
  <si>
    <t>PROBLEM STATEMENT</t>
  </si>
  <si>
    <t>Target Customer Segment</t>
  </si>
  <si>
    <t>Primary:</t>
  </si>
  <si>
    <t>Secondary:</t>
  </si>
  <si>
    <t>Core Problem Being Solved</t>
  </si>
  <si>
    <t>Problem Description:</t>
  </si>
  <si>
    <t>Pain Point Intensity (1-10):</t>
  </si>
  <si>
    <t>Frequency of Problem:</t>
  </si>
  <si>
    <t>Current Solutions Used:</t>
  </si>
  <si>
    <t>SOLUTION HYPOTHESIS</t>
  </si>
  <si>
    <t>Proposed Solution</t>
  </si>
  <si>
    <t>Core functionality:</t>
  </si>
  <si>
    <t>Key features:</t>
  </si>
  <si>
    <t>Unique value proposition:</t>
  </si>
  <si>
    <t>Success Assumptions</t>
  </si>
  <si>
    <t>1. Customers will</t>
  </si>
  <si>
    <t>2. Customers will</t>
  </si>
  <si>
    <t>3. Customers will</t>
  </si>
  <si>
    <t>4. Customers will</t>
  </si>
  <si>
    <t>5. Customers will</t>
  </si>
  <si>
    <t>MVP SCOPE DEFINITION</t>
  </si>
  <si>
    <t>Must-Have Features (Core)</t>
  </si>
  <si>
    <t>☐</t>
  </si>
  <si>
    <t>Should-Have Features (Important)</t>
  </si>
  <si>
    <t>Could-Have Features (Nice-to-Have)</t>
  </si>
  <si>
    <t>Won't-Have Features (Excluded)</t>
  </si>
  <si>
    <t>SUCCESS METRICS</t>
  </si>
  <si>
    <t>Learning Objectives</t>
  </si>
  <si>
    <t>Primary question to answer:</t>
  </si>
  <si>
    <t>Secondary questions:</t>
  </si>
  <si>
    <t>Key Performance Indicators</t>
  </si>
  <si>
    <t>Primary metric:</t>
  </si>
  <si>
    <t>Target value:</t>
  </si>
  <si>
    <t>Secondary metrics:</t>
  </si>
  <si>
    <t>Timeline</t>
  </si>
  <si>
    <t>MVP development start:</t>
  </si>
  <si>
    <t>MVP launch date:</t>
  </si>
  <si>
    <t>Evaluation period:</t>
  </si>
  <si>
    <t>Decision point:</t>
  </si>
  <si>
    <t>Business Model Canvas for MVP</t>
  </si>
  <si>
    <t>Key Partners</t>
  </si>
  <si>
    <t>Value Propositions</t>
  </si>
  <si>
    <t>Customer Relationships</t>
  </si>
  <si>
    <t>Essential Partners:</t>
  </si>
  <si>
    <t>Primary Value Proposition:</t>
  </si>
  <si>
    <t>Strategic Alliances:</t>
  </si>
  <si>
    <t>Secondary Benefits:</t>
  </si>
  <si>
    <t>Quantified Benefits:</t>
  </si>
  <si>
    <t>Key Activities</t>
  </si>
  <si>
    <t>Channels</t>
  </si>
  <si>
    <t>Key Resources</t>
  </si>
  <si>
    <t>Customer Segments</t>
  </si>
  <si>
    <t>Primary Segment:</t>
  </si>
  <si>
    <t>Demographics:</t>
  </si>
  <si>
    <t>Psychographics:</t>
  </si>
  <si>
    <t>Behavior patterns:</t>
  </si>
  <si>
    <t>Cost Structure</t>
  </si>
  <si>
    <t>Revenue Streams</t>
  </si>
  <si>
    <t>Primary Revenue Model:</t>
  </si>
  <si>
    <t>Pricing Strategy:</t>
  </si>
  <si>
    <t>Revenue Projections:</t>
  </si>
  <si>
    <t>MVP Assumption Mapping</t>
  </si>
  <si>
    <t>Instructions: Rate each assumption on Importance (1-5) and Confidence (1-5). Focus testing on High Importance, Low Confidence items first.</t>
  </si>
  <si>
    <t>CUSTOMER ASSUMPTIONS</t>
  </si>
  <si>
    <t>Assumption</t>
  </si>
  <si>
    <t>Importance (1-5)</t>
  </si>
  <si>
    <t>Confidence (1-5)</t>
  </si>
  <si>
    <t>Evidence</t>
  </si>
  <si>
    <t>Test Method</t>
  </si>
  <si>
    <t>Status</t>
  </si>
  <si>
    <t>Notes</t>
  </si>
  <si>
    <t>Customers experience problem X daily</t>
  </si>
  <si>
    <t>Not Tested</t>
  </si>
  <si>
    <t>Customers willing to pay $X for solution</t>
  </si>
  <si>
    <t>Target segment size is Y</t>
  </si>
  <si>
    <t>Customers prefer feature A over B</t>
  </si>
  <si>
    <t>PRODUCT ASSUMPTIONS</t>
  </si>
  <si>
    <t>Core feature solves main problem</t>
  </si>
  <si>
    <t>Technical approach is feasible</t>
  </si>
  <si>
    <t>User experience is intuitive</t>
  </si>
  <si>
    <t>Integration with X is possible</t>
  </si>
  <si>
    <t>MARKET ASSUMPTIONS</t>
  </si>
  <si>
    <t>Market timing is right</t>
  </si>
  <si>
    <t>Competition is weak in area X</t>
  </si>
  <si>
    <t>Regulatory environment is favorable</t>
  </si>
  <si>
    <t>Distribution channel X is effective</t>
  </si>
  <si>
    <t>BUSINESS MODEL ASSUMPTIONS</t>
  </si>
  <si>
    <t>Customer acquisition cost &lt; $X</t>
  </si>
  <si>
    <t>Customer lifetime value &gt; $Y</t>
  </si>
  <si>
    <t>Conversion rate will be Z%</t>
  </si>
  <si>
    <t>Churn rate will be &lt; W%</t>
  </si>
  <si>
    <t>Feature Prioritization Matrix</t>
  </si>
  <si>
    <t>Instructions: Rate each feature on Customer Impact, Business Value, Learning Value (1-5) and Development Effort, Risk Level (1-5). Priority Score = (Impact + Business + Learning - Effort - Risk) / 3</t>
  </si>
  <si>
    <t>Feature Name</t>
  </si>
  <si>
    <t>Customer Impact (1-5)</t>
  </si>
  <si>
    <t>Business Value (1-5)</t>
  </si>
  <si>
    <t>Learning Value (1-5)</t>
  </si>
  <si>
    <t>Development Effort (1-5)</t>
  </si>
  <si>
    <t>Risk Level (1-5)</t>
  </si>
  <si>
    <t>Priority Score</t>
  </si>
  <si>
    <t>Classification</t>
  </si>
  <si>
    <t>User Registration/Login</t>
  </si>
  <si>
    <t>Core Workflow Feature</t>
  </si>
  <si>
    <t>Dashboard/Analytics</t>
  </si>
  <si>
    <t>Mobile App</t>
  </si>
  <si>
    <t>Third-party Integration</t>
  </si>
  <si>
    <t>Advanced Reporting</t>
  </si>
  <si>
    <t>Social Features</t>
  </si>
  <si>
    <t>API Access</t>
  </si>
  <si>
    <t>Multi-language Support</t>
  </si>
  <si>
    <t>Advanced Security</t>
  </si>
  <si>
    <t>MoSCoW PRIORITIZATION</t>
  </si>
  <si>
    <t>Must Have Features (4.0-5.0)</t>
  </si>
  <si>
    <t>Feature 1:</t>
  </si>
  <si>
    <t>Feature 2:</t>
  </si>
  <si>
    <t>Feature 3:</t>
  </si>
  <si>
    <t>Should Have Features (2.5-3.9)</t>
  </si>
  <si>
    <t>Could Have Features (1.0-2.4)</t>
  </si>
  <si>
    <t>Won't Have Features (0.0-0.9)</t>
  </si>
  <si>
    <t>Customer Interview Tracker</t>
  </si>
  <si>
    <t>Interview #</t>
  </si>
  <si>
    <t>Participant Name</t>
  </si>
  <si>
    <t>Company/Role</t>
  </si>
  <si>
    <t>Date</t>
  </si>
  <si>
    <t>Duration</t>
  </si>
  <si>
    <t>Method</t>
  </si>
  <si>
    <t>Problem Confirmed</t>
  </si>
  <si>
    <t>Solution Interest</t>
  </si>
  <si>
    <t>Willingness to Pay</t>
  </si>
  <si>
    <t>Key Insights</t>
  </si>
  <si>
    <t>Follow-up Needed</t>
  </si>
  <si>
    <t>INT-001</t>
  </si>
  <si>
    <t>Video Call</t>
  </si>
  <si>
    <t>Planned</t>
  </si>
  <si>
    <t>INT-002</t>
  </si>
  <si>
    <t>INT-003</t>
  </si>
  <si>
    <t>INT-004</t>
  </si>
  <si>
    <t>INT-005</t>
  </si>
  <si>
    <t>INT-006</t>
  </si>
  <si>
    <t>INT-007</t>
  </si>
  <si>
    <t>INT-008</t>
  </si>
  <si>
    <t>INT-009</t>
  </si>
  <si>
    <t>INT-010</t>
  </si>
  <si>
    <t>INT-011</t>
  </si>
  <si>
    <t>INT-012</t>
  </si>
  <si>
    <t>INT-013</t>
  </si>
  <si>
    <t>INT-014</t>
  </si>
  <si>
    <t>INT-015</t>
  </si>
  <si>
    <t>INT-016</t>
  </si>
  <si>
    <t>INT-017</t>
  </si>
  <si>
    <t>INT-018</t>
  </si>
  <si>
    <t>INT-019</t>
  </si>
  <si>
    <t>INT-020</t>
  </si>
  <si>
    <t>INTERVIEW SUMMARY</t>
  </si>
  <si>
    <t>Total Interviews Completed:</t>
  </si>
  <si>
    <t>Problem Confirmation Rate:</t>
  </si>
  <si>
    <t>Solution Interest Rate:</t>
  </si>
  <si>
    <t>Willingness to Pay Rate:</t>
  </si>
  <si>
    <t>KEY INSIGHTS</t>
  </si>
  <si>
    <t>Most Common Pain Points:</t>
  </si>
  <si>
    <t>Preferred Solutions:</t>
  </si>
  <si>
    <t>Price Sensitivity:</t>
  </si>
  <si>
    <t>Unexpected Findings:</t>
  </si>
  <si>
    <t>Next Steps:</t>
  </si>
  <si>
    <t>MVP Metrics Dashboard</t>
  </si>
  <si>
    <t>Reporting Period:</t>
  </si>
  <si>
    <t>Last Updated:</t>
  </si>
  <si>
    <t>2025-07-15</t>
  </si>
  <si>
    <t>CUSTOMER ACQUISITION METRICS</t>
  </si>
  <si>
    <t>Metric</t>
  </si>
  <si>
    <t>Current Value</t>
  </si>
  <si>
    <t>Target</t>
  </si>
  <si>
    <t>Previous Period</t>
  </si>
  <si>
    <t>Change %</t>
  </si>
  <si>
    <t>Website Traffic (Unique Visitors)</t>
  </si>
  <si>
    <t>Conversion Rate (Visitor to Signup)</t>
  </si>
  <si>
    <t>Customer Acquisition Cost (CAC)</t>
  </si>
  <si>
    <t>Lead Quality Score</t>
  </si>
  <si>
    <t>Signup Completion Rate</t>
  </si>
  <si>
    <t>CUSTOMER ENGAGEMENT METRICS</t>
  </si>
  <si>
    <t>Daily Active Users (DAU)</t>
  </si>
  <si>
    <t>Weekly Active Users (WAU)</t>
  </si>
  <si>
    <t>Monthly Active Users (MAU)</t>
  </si>
  <si>
    <t>Session Duration (Average)</t>
  </si>
  <si>
    <t>Feature Adoption Rate</t>
  </si>
  <si>
    <t>CUSTOMER RETENTION METRICS</t>
  </si>
  <si>
    <t>Churn Rate (Monthly)</t>
  </si>
  <si>
    <t>Retention Rate (Day 1)</t>
  </si>
  <si>
    <t>Retention Rate (Day 7)</t>
  </si>
  <si>
    <t>Retention Rate (Day 30)</t>
  </si>
  <si>
    <t>Customer Lifetime Value (CLV)</t>
  </si>
  <si>
    <t>BUSINESS PERFORMANCE METRICS</t>
  </si>
  <si>
    <t>Monthly Recurring Revenue (MRR)</t>
  </si>
  <si>
    <t>Average Revenue Per User (ARPU)</t>
  </si>
  <si>
    <t>Gross Margin</t>
  </si>
  <si>
    <t>Burn Rate</t>
  </si>
  <si>
    <t>Runway (Months)</t>
  </si>
  <si>
    <t>Positive Trends:</t>
  </si>
  <si>
    <t>Areas of Concern:</t>
  </si>
  <si>
    <t>Action Items:</t>
  </si>
  <si>
    <t>11 Smart MVP Testing Methods Checklist</t>
  </si>
  <si>
    <t>Instructions: Check off completed items for each testing method. Use Status column to track progress.</t>
  </si>
  <si>
    <t>Landing Page Testing</t>
  </si>
  <si>
    <t>Checklist Item</t>
  </si>
  <si>
    <t>Completed</t>
  </si>
  <si>
    <t>Owner</t>
  </si>
  <si>
    <t>Due Date</t>
  </si>
  <si>
    <t>Clear value proposition headline</t>
  </si>
  <si>
    <t>Not Started</t>
  </si>
  <si>
    <t>Compelling subheadline explaining benefits</t>
  </si>
  <si>
    <t>Hero image or video demonstrating concept</t>
  </si>
  <si>
    <t>Call-to-action button (signup, pre-order, learn more)</t>
  </si>
  <si>
    <t>Social proof elements (testimonials, logos)</t>
  </si>
  <si>
    <t>Contact information and credibility indicators</t>
  </si>
  <si>
    <t>Mobile-responsive design</t>
  </si>
  <si>
    <t>Analytics tracking implemented</t>
  </si>
  <si>
    <t>A/B testing setup (if applicable)</t>
  </si>
  <si>
    <t>Smoke Testing</t>
  </si>
  <si>
    <t>Professional-looking interface</t>
  </si>
  <si>
    <t>Core user flow simulation</t>
  </si>
  <si>
    <t>Payment process mockup (if applicable)</t>
  </si>
  <si>
    <t>Error handling for unavailable features</t>
  </si>
  <si>
    <t>Customer communication plan</t>
  </si>
  <si>
    <t>Data collection mechanisms</t>
  </si>
  <si>
    <t>Concierge MVP</t>
  </si>
  <si>
    <t>Manual process documentation</t>
  </si>
  <si>
    <t>Quality standards definition</t>
  </si>
  <si>
    <t>Customer communication templates</t>
  </si>
  <si>
    <t>Pricing structure</t>
  </si>
  <si>
    <t>Delivery timeline commitments</t>
  </si>
  <si>
    <t>Team training and procedures</t>
  </si>
  <si>
    <t>Wizard of Oz MVP</t>
  </si>
  <si>
    <t>Human operator training</t>
  </si>
  <si>
    <t>Response time standards</t>
  </si>
  <si>
    <t>Quality control processes</t>
  </si>
  <si>
    <t>Escalation procedures</t>
  </si>
  <si>
    <t>Communication protocols</t>
  </si>
  <si>
    <t>Seamless interface design</t>
  </si>
  <si>
    <t>Piecemeal MVP</t>
  </si>
  <si>
    <t>Third-party service evaluation</t>
  </si>
  <si>
    <t>Integration architecture design</t>
  </si>
  <si>
    <t>Data flow mapping</t>
  </si>
  <si>
    <t>User experience unification</t>
  </si>
  <si>
    <t>Cost analysis</t>
  </si>
  <si>
    <t>Multi-platform coordination</t>
  </si>
  <si>
    <t>Single Feature MVP</t>
  </si>
  <si>
    <t>Core value proposition alignment</t>
  </si>
  <si>
    <t>Customer workflow integration</t>
  </si>
  <si>
    <t>Technical feasibility assessment</t>
  </si>
  <si>
    <t>Competitive differentiation</t>
  </si>
  <si>
    <t>Learning potential evaluation</t>
  </si>
  <si>
    <t>Feature specification complete</t>
  </si>
  <si>
    <t>Email MVP</t>
  </si>
  <si>
    <t>Email template design</t>
  </si>
  <si>
    <t>Response workflow definition</t>
  </si>
  <si>
    <t>Quality standards establishment</t>
  </si>
  <si>
    <t>Automation opportunities identified</t>
  </si>
  <si>
    <t>Scalability planning</t>
  </si>
  <si>
    <t>Customer onboarding via email</t>
  </si>
  <si>
    <t>Crowdfunding MVP</t>
  </si>
  <si>
    <t>Platform selection (Kickstarter, Indiegogo, etc.)</t>
  </si>
  <si>
    <t>Campaign page design</t>
  </si>
  <si>
    <t>Video production</t>
  </si>
  <si>
    <t>Reward tier structure</t>
  </si>
  <si>
    <t>Marketing strategy</t>
  </si>
  <si>
    <t>Community engagement plan</t>
  </si>
  <si>
    <t>Pre-Order MVP</t>
  </si>
  <si>
    <t>Product specification</t>
  </si>
  <si>
    <t>Pricing strategy</t>
  </si>
  <si>
    <t>Payment collection system</t>
  </si>
  <si>
    <t>Delivery timeline communication</t>
  </si>
  <si>
    <t>Terms and conditions</t>
  </si>
  <si>
    <t>Order tracking system</t>
  </si>
  <si>
    <t>Video MVP</t>
  </si>
  <si>
    <t>Script development</t>
  </si>
  <si>
    <t>Storyboard creation</t>
  </si>
  <si>
    <t>Production planning</t>
  </si>
  <si>
    <t>Quality standards</t>
  </si>
  <si>
    <t>Distribution strategy</t>
  </si>
  <si>
    <t>Feedback collection plan</t>
  </si>
  <si>
    <t>A/B Testing MVP</t>
  </si>
  <si>
    <t>Variable identification</t>
  </si>
  <si>
    <t>Sample size calculation</t>
  </si>
  <si>
    <t>Random assignment mechanism</t>
  </si>
  <si>
    <t>Control group definition</t>
  </si>
  <si>
    <t>Success metrics specification</t>
  </si>
  <si>
    <t>Statistical analysis plan</t>
  </si>
  <si>
    <t>Customer Journey Map</t>
  </si>
  <si>
    <t>Customer Persona:</t>
  </si>
  <si>
    <t>Journey Name:</t>
  </si>
  <si>
    <t>Date Created:</t>
  </si>
  <si>
    <t>Stage</t>
  </si>
  <si>
    <t>Trigger</t>
  </si>
  <si>
    <t>Customer Actions</t>
  </si>
  <si>
    <t>Touchpoints</t>
  </si>
  <si>
    <t>Thoughts</t>
  </si>
  <si>
    <t>Emotions</t>
  </si>
  <si>
    <t>Pain Points</t>
  </si>
  <si>
    <t>Opportunities</t>
  </si>
  <si>
    <t>Awareness</t>
  </si>
  <si>
    <t>Consideration</t>
  </si>
  <si>
    <t>Decision</t>
  </si>
  <si>
    <t>Onboarding</t>
  </si>
  <si>
    <t>Usage</t>
  </si>
  <si>
    <t>Advocacy</t>
  </si>
  <si>
    <t>JOURNEY INSIGHTS</t>
  </si>
  <si>
    <t>Key Pain Points</t>
  </si>
  <si>
    <t>1.</t>
  </si>
  <si>
    <t>2.</t>
  </si>
  <si>
    <t>3.</t>
  </si>
  <si>
    <t>Biggest Opportunities</t>
  </si>
  <si>
    <t>Critical Moments</t>
  </si>
  <si>
    <t>MVP IMPLICATIONS</t>
  </si>
  <si>
    <t>Features to Address Pain Points:</t>
  </si>
  <si>
    <t>Touchpoints to Optimize:</t>
  </si>
  <si>
    <t>Metrics to Track:</t>
  </si>
  <si>
    <t>MVP Development Sprint Planning</t>
  </si>
  <si>
    <t>Sprint Number:</t>
  </si>
  <si>
    <t>Duration:</t>
  </si>
  <si>
    <t>Start Date:</t>
  </si>
  <si>
    <t>End Date:</t>
  </si>
  <si>
    <t>SPRINT GOALS</t>
  </si>
  <si>
    <t>Primary Goals:</t>
  </si>
  <si>
    <t>Secondary Goals:</t>
  </si>
  <si>
    <t>USER STORIES</t>
  </si>
  <si>
    <t>Story ID</t>
  </si>
  <si>
    <t>User Story</t>
  </si>
  <si>
    <t>Acceptance Criteria</t>
  </si>
  <si>
    <t>Story Points</t>
  </si>
  <si>
    <t>Priority</t>
  </si>
  <si>
    <t>Assignee</t>
  </si>
  <si>
    <t>US-001</t>
  </si>
  <si>
    <t>As a [user], I want [goal] so that [benefit]</t>
  </si>
  <si>
    <t>Medium</t>
  </si>
  <si>
    <t>To Do</t>
  </si>
  <si>
    <t>US-002</t>
  </si>
  <si>
    <t>US-003</t>
  </si>
  <si>
    <t>US-004</t>
  </si>
  <si>
    <t>US-005</t>
  </si>
  <si>
    <t>US-006</t>
  </si>
  <si>
    <t>US-007</t>
  </si>
  <si>
    <t>US-008</t>
  </si>
  <si>
    <t>US-009</t>
  </si>
  <si>
    <t>US-010</t>
  </si>
  <si>
    <t>SPRINT TASKS</t>
  </si>
  <si>
    <t>Task ID</t>
  </si>
  <si>
    <t>Task Description</t>
  </si>
  <si>
    <t>Related Story</t>
  </si>
  <si>
    <t>Estimated Hours</t>
  </si>
  <si>
    <t>Actual Hours</t>
  </si>
  <si>
    <t>T-001</t>
  </si>
  <si>
    <t>T-002</t>
  </si>
  <si>
    <t>T-003</t>
  </si>
  <si>
    <t>T-004</t>
  </si>
  <si>
    <t>T-005</t>
  </si>
  <si>
    <t>T-006</t>
  </si>
  <si>
    <t>T-007</t>
  </si>
  <si>
    <t>T-008</t>
  </si>
  <si>
    <t>T-009</t>
  </si>
  <si>
    <t>T-010</t>
  </si>
  <si>
    <t>SPRINT RETROSPECTIVE</t>
  </si>
  <si>
    <t>What Went Well</t>
  </si>
  <si>
    <t>What Didn't Go Well</t>
  </si>
  <si>
    <t>Action Items for Next Sprint</t>
  </si>
  <si>
    <t>MVP Launch Checklist</t>
  </si>
  <si>
    <t>Instructions: Complete all items before launch. Use this checklist to ensure nothing is missed.</t>
  </si>
  <si>
    <t>Technical Readiness (2 weeks before launch)</t>
  </si>
  <si>
    <t>All core features working correctly</t>
  </si>
  <si>
    <t>User workflows tested end-to-end</t>
  </si>
  <si>
    <t>Edge cases and error scenarios handled</t>
  </si>
  <si>
    <t>Cross-browser compatibility verified</t>
  </si>
  <si>
    <t>Mobile responsiveness confirmed</t>
  </si>
  <si>
    <t>Performance benchmarks met</t>
  </si>
  <si>
    <t>Security audit completed</t>
  </si>
  <si>
    <t>Data encryption implemented</t>
  </si>
  <si>
    <t>User authentication secure</t>
  </si>
  <si>
    <t>Privacy policy compliant</t>
  </si>
  <si>
    <t>Production environment stable</t>
  </si>
  <si>
    <t>Backup and recovery tested</t>
  </si>
  <si>
    <t>Monitoring and alerting configured</t>
  </si>
  <si>
    <t>SSL certificates installed</t>
  </si>
  <si>
    <t>Business Readiness (1 week before launch)</t>
  </si>
  <si>
    <t>Terms of service finalized</t>
  </si>
  <si>
    <t>Privacy policy published</t>
  </si>
  <si>
    <t>Cookie policy implemented</t>
  </si>
  <si>
    <t>Refund/return policy defined</t>
  </si>
  <si>
    <t>Support team trained</t>
  </si>
  <si>
    <t>Help documentation created</t>
  </si>
  <si>
    <t>FAQ section completed</t>
  </si>
  <si>
    <t>Support ticket system ready</t>
  </si>
  <si>
    <t>Launch announcement prepared</t>
  </si>
  <si>
    <t>Social media accounts set up</t>
  </si>
  <si>
    <t>Press release drafted</t>
  </si>
  <si>
    <t>Email marketing campaigns ready</t>
  </si>
  <si>
    <t>Payment processing tested</t>
  </si>
  <si>
    <t>Fulfillment processes ready</t>
  </si>
  <si>
    <t>Launch Day Checklist</t>
  </si>
  <si>
    <t>Final system health check</t>
  </si>
  <si>
    <t>Team communication channels active</t>
  </si>
  <si>
    <t>Monitoring dashboards ready</t>
  </si>
  <si>
    <t>Support team on standby</t>
  </si>
  <si>
    <t>Marketing materials final review</t>
  </si>
  <si>
    <t>System deployment executed</t>
  </si>
  <si>
    <t>DNS changes propagated</t>
  </si>
  <si>
    <t>Marketing campaigns activated</t>
  </si>
  <si>
    <t>Social media announcements posted</t>
  </si>
  <si>
    <t>System performance monitored</t>
  </si>
  <si>
    <t>User feedback collected</t>
  </si>
  <si>
    <t>Support tickets addressed</t>
  </si>
  <si>
    <t>Launch metrics compiled</t>
  </si>
  <si>
    <t>Team debrief conducted</t>
  </si>
  <si>
    <t>Post-Launch (First 30 days)</t>
  </si>
  <si>
    <t>Daily monitoring of key metrics</t>
  </si>
  <si>
    <t>Weekly user feedback collection</t>
  </si>
  <si>
    <t>Bi-weekly product iterations</t>
  </si>
  <si>
    <t>Customer success outreach</t>
  </si>
  <si>
    <t>Performance optimization</t>
  </si>
  <si>
    <t>Feature usage analysis</t>
  </si>
  <si>
    <t>Customer satisfaction surveys</t>
  </si>
  <si>
    <t>Bug fixes and improvements</t>
  </si>
  <si>
    <t>Marketing optimization</t>
  </si>
  <si>
    <t>Competitive analysis update</t>
  </si>
  <si>
    <t>LAUNCH METRICS TRACKING</t>
  </si>
  <si>
    <t>Day 1</t>
  </si>
  <si>
    <t>Day 7</t>
  </si>
  <si>
    <t>Day 30</t>
  </si>
  <si>
    <t>New User Signups</t>
  </si>
  <si>
    <t>Website Traffic</t>
  </si>
  <si>
    <t>Conversion Rate</t>
  </si>
  <si>
    <t>Customer Satisfaction</t>
  </si>
  <si>
    <t>Support Tickets</t>
  </si>
  <si>
    <t>System Uptime</t>
  </si>
  <si>
    <t>Revenue Generated</t>
  </si>
  <si>
    <t>Weekly MVP Review Template</t>
  </si>
  <si>
    <t>Review Date:</t>
  </si>
  <si>
    <t>Week Number:</t>
  </si>
  <si>
    <t>Attendees:</t>
  </si>
  <si>
    <t>KEY METRICS REVIEW</t>
  </si>
  <si>
    <t>This Week</t>
  </si>
  <si>
    <t>Last Week</t>
  </si>
  <si>
    <t>New Signups</t>
  </si>
  <si>
    <t>Daily Active Users</t>
  </si>
  <si>
    <t>Session Duration</t>
  </si>
  <si>
    <t>Feature Usage Rate</t>
  </si>
  <si>
    <t>CUSTOMER FEEDBACK SUMMARY</t>
  </si>
  <si>
    <t>Positive Feedback Themes</t>
  </si>
  <si>
    <t>Negative Feedback Themes</t>
  </si>
  <si>
    <t>Feature Requests</t>
  </si>
  <si>
    <t>Support Issues</t>
  </si>
  <si>
    <t>DEVELOPMENT PROGRESS</t>
  </si>
  <si>
    <t>Completed This Week</t>
  </si>
  <si>
    <t xml:space="preserve">☐ </t>
  </si>
  <si>
    <t>In Progress</t>
  </si>
  <si>
    <t>Blocked/Delayed</t>
  </si>
  <si>
    <t>KEY INSIGHTS AND LEARNINGS</t>
  </si>
  <si>
    <t>What's Working Well</t>
  </si>
  <si>
    <t>What's Not Working</t>
  </si>
  <si>
    <t>Unexpected Discoveries</t>
  </si>
  <si>
    <t>ACTION ITEMS FOR NEXT WEEK</t>
  </si>
  <si>
    <t>Action Item</t>
  </si>
  <si>
    <t>High</t>
  </si>
  <si>
    <t>Pivot Decision Framework</t>
  </si>
  <si>
    <t>Assessment Date:</t>
  </si>
  <si>
    <t>Assessor:</t>
  </si>
  <si>
    <t>PIVOT TRIGGERS ASSESSMENT</t>
  </si>
  <si>
    <t>Customer Metrics Triggers</t>
  </si>
  <si>
    <t>☐ Customer acquisition cost &gt; 3x customer lifetime value</t>
  </si>
  <si>
    <t>☐ Monthly churn rate &gt; 10% for 3 consecutive months</t>
  </si>
  <si>
    <t>☐ Net Promoter Score &lt; 0 for 2+ months</t>
  </si>
  <si>
    <t>☐ Customer satisfaction score &lt; 6/10 consistently</t>
  </si>
  <si>
    <t>☐ Less than 40% of users would be disappointed if product disappeared</t>
  </si>
  <si>
    <t>Business Metrics Triggers</t>
  </si>
  <si>
    <t>☐ Revenue growth &lt; 10% monthly for 6 months</t>
  </si>
  <si>
    <t>☐ Burn rate exceeding runway projections</t>
  </si>
  <si>
    <t>☐ Unable to raise additional funding</t>
  </si>
  <si>
    <t>☐ Market size smaller than minimum viable</t>
  </si>
  <si>
    <t>☐ Competitive pressure making business unsustainable</t>
  </si>
  <si>
    <t>Product Metrics Triggers</t>
  </si>
  <si>
    <t>☐ Core feature adoption &lt; 50% after 3 months</t>
  </si>
  <si>
    <t>☐ User engagement declining consistently</t>
  </si>
  <si>
    <t>☐ Technical debt preventing further development</t>
  </si>
  <si>
    <t>☐ Unable to achieve product-market fit indicators</t>
  </si>
  <si>
    <t>☐ Customer feedback consistently negative</t>
  </si>
  <si>
    <t>PIVOT OPTIONS ANALYSIS</t>
  </si>
  <si>
    <t>Pivot Option</t>
  </si>
  <si>
    <t>Market Opportunity (1-10)</t>
  </si>
  <si>
    <t>Team Capability (1-10)</t>
  </si>
  <si>
    <t>Resource Fit (1-10)</t>
  </si>
  <si>
    <t>Risk Level (1-10)</t>
  </si>
  <si>
    <t>Total Score</t>
  </si>
  <si>
    <t>Zoom-In Pivot (Focus on Single Feature)</t>
  </si>
  <si>
    <t>Zoom-Out Pivot (Expand Scope)</t>
  </si>
  <si>
    <t>Customer Segment Pivot</t>
  </si>
  <si>
    <t>Customer Need Pivot</t>
  </si>
  <si>
    <t>Platform Pivot</t>
  </si>
  <si>
    <t>Business Architecture Pivot</t>
  </si>
  <si>
    <t>RECOMMENDED PIVOT</t>
  </si>
  <si>
    <t>Recommended Option:</t>
  </si>
  <si>
    <t>Rationale:</t>
  </si>
  <si>
    <t>PIVOT IMPLEMENTATION PLAN</t>
  </si>
  <si>
    <t>Phase 1: Preparation (Weeks 1-2)</t>
  </si>
  <si>
    <t>Phase 2: Transition (Weeks 3-6)</t>
  </si>
  <si>
    <t>Phase 3: Validation (Weeks 7-12)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</si>
</sst>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2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3" borderId="1" xfId="0" applyFont="1" applyFill="1" applyBorder="1"/>
    <xf numFmtId="9" fontId="0" fillId="0" borderId="0" xfId="0" applyNumberFormat="1"/>
    <xf numFmtId="0" fontId="4" fillId="0" borderId="0" xfId="0" applyFont="1"/>
    <xf numFmtId="164" fontId="0" fillId="0" borderId="0" xfId="0" applyNumberFormat="1"/>
    <xf numFmtId="0" fontId="4" fillId="4" borderId="0" xfId="0" applyFont="1" applyFill="1"/>
    <xf numFmtId="0" fontId="1" fillId="0" borderId="0" xfId="0" applyFont="1"/>
    <xf numFmtId="0" fontId="0" fillId="0" borderId="0" xfId="0"/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opLeftCell="A39" workbookViewId="0">
      <selection sqref="A1:H1"/>
    </sheetView>
  </sheetViews>
  <sheetFormatPr defaultRowHeight="15" x14ac:dyDescent="0.25"/>
  <cols>
    <col min="1" max="1" width="39.42578125" customWidth="1"/>
    <col min="2" max="8" width="20" customWidth="1"/>
  </cols>
  <sheetData>
    <row r="1" spans="1:8" ht="21" x14ac:dyDescent="0.35">
      <c r="A1" s="8" t="s">
        <v>0</v>
      </c>
      <c r="B1" s="9"/>
      <c r="C1" s="9"/>
      <c r="D1" s="9"/>
      <c r="E1" s="9"/>
      <c r="F1" s="9"/>
      <c r="G1" s="9"/>
      <c r="H1" s="9"/>
    </row>
    <row r="3" spans="1:8" x14ac:dyDescent="0.25">
      <c r="A3" s="1" t="s">
        <v>1</v>
      </c>
      <c r="C3" s="1" t="s">
        <v>2</v>
      </c>
      <c r="E3" s="1" t="s">
        <v>3</v>
      </c>
    </row>
    <row r="5" spans="1:8" ht="15.75" x14ac:dyDescent="0.25">
      <c r="A5" s="10" t="s">
        <v>4</v>
      </c>
      <c r="B5" s="9"/>
      <c r="C5" s="9"/>
      <c r="D5" s="9"/>
      <c r="E5" s="9"/>
      <c r="F5" s="9"/>
      <c r="G5" s="9"/>
      <c r="H5" s="9"/>
    </row>
    <row r="7" spans="1:8" x14ac:dyDescent="0.25">
      <c r="A7" s="2" t="s">
        <v>5</v>
      </c>
    </row>
    <row r="8" spans="1:8" x14ac:dyDescent="0.25">
      <c r="A8" t="s">
        <v>6</v>
      </c>
    </row>
    <row r="9" spans="1:8" x14ac:dyDescent="0.25">
      <c r="A9" t="s">
        <v>7</v>
      </c>
    </row>
    <row r="11" spans="1:8" x14ac:dyDescent="0.25">
      <c r="A11" s="2" t="s">
        <v>8</v>
      </c>
    </row>
    <row r="12" spans="1:8" x14ac:dyDescent="0.25">
      <c r="A12" t="s">
        <v>9</v>
      </c>
    </row>
    <row r="13" spans="1:8" x14ac:dyDescent="0.25">
      <c r="A13" t="s">
        <v>10</v>
      </c>
    </row>
    <row r="14" spans="1:8" x14ac:dyDescent="0.25">
      <c r="A14" t="s">
        <v>11</v>
      </c>
    </row>
    <row r="15" spans="1:8" x14ac:dyDescent="0.25">
      <c r="A15" t="s">
        <v>12</v>
      </c>
    </row>
    <row r="17" spans="1:8" ht="15.75" x14ac:dyDescent="0.25">
      <c r="A17" s="10" t="s">
        <v>13</v>
      </c>
      <c r="B17" s="9"/>
      <c r="C17" s="9"/>
      <c r="D17" s="9"/>
      <c r="E17" s="9"/>
      <c r="F17" s="9"/>
      <c r="G17" s="9"/>
      <c r="H17" s="9"/>
    </row>
    <row r="19" spans="1:8" x14ac:dyDescent="0.25">
      <c r="A19" s="2" t="s">
        <v>14</v>
      </c>
    </row>
    <row r="20" spans="1:8" x14ac:dyDescent="0.25">
      <c r="A20" t="s">
        <v>15</v>
      </c>
    </row>
    <row r="21" spans="1:8" x14ac:dyDescent="0.25">
      <c r="A21" t="s">
        <v>16</v>
      </c>
    </row>
    <row r="22" spans="1:8" x14ac:dyDescent="0.25">
      <c r="A22" t="s">
        <v>17</v>
      </c>
    </row>
    <row r="24" spans="1:8" x14ac:dyDescent="0.25">
      <c r="A24" s="2" t="s">
        <v>18</v>
      </c>
    </row>
    <row r="25" spans="1:8" x14ac:dyDescent="0.25">
      <c r="A25" t="s">
        <v>19</v>
      </c>
    </row>
    <row r="26" spans="1:8" x14ac:dyDescent="0.25">
      <c r="A26" t="s">
        <v>20</v>
      </c>
    </row>
    <row r="27" spans="1:8" x14ac:dyDescent="0.25">
      <c r="A27" t="s">
        <v>21</v>
      </c>
    </row>
    <row r="28" spans="1:8" x14ac:dyDescent="0.25">
      <c r="A28" t="s">
        <v>22</v>
      </c>
    </row>
    <row r="29" spans="1:8" x14ac:dyDescent="0.25">
      <c r="A29" t="s">
        <v>23</v>
      </c>
    </row>
    <row r="31" spans="1:8" ht="15.75" x14ac:dyDescent="0.25">
      <c r="A31" s="10" t="s">
        <v>24</v>
      </c>
      <c r="B31" s="9"/>
      <c r="C31" s="9"/>
      <c r="D31" s="9"/>
      <c r="E31" s="9"/>
      <c r="F31" s="9"/>
      <c r="G31" s="9"/>
      <c r="H31" s="9"/>
    </row>
    <row r="33" spans="1:1" x14ac:dyDescent="0.25">
      <c r="A33" s="2" t="s">
        <v>25</v>
      </c>
    </row>
    <row r="34" spans="1:1" x14ac:dyDescent="0.25">
      <c r="A34" t="s">
        <v>26</v>
      </c>
    </row>
    <row r="35" spans="1:1" x14ac:dyDescent="0.25">
      <c r="A35" t="s">
        <v>26</v>
      </c>
    </row>
    <row r="36" spans="1:1" x14ac:dyDescent="0.25">
      <c r="A36" t="s">
        <v>26</v>
      </c>
    </row>
    <row r="38" spans="1:1" x14ac:dyDescent="0.25">
      <c r="A38" s="2" t="s">
        <v>27</v>
      </c>
    </row>
    <row r="39" spans="1:1" x14ac:dyDescent="0.25">
      <c r="A39" t="s">
        <v>26</v>
      </c>
    </row>
    <row r="40" spans="1:1" x14ac:dyDescent="0.25">
      <c r="A40" t="s">
        <v>26</v>
      </c>
    </row>
    <row r="41" spans="1:1" x14ac:dyDescent="0.25">
      <c r="A41" t="s">
        <v>26</v>
      </c>
    </row>
    <row r="43" spans="1:1" x14ac:dyDescent="0.25">
      <c r="A43" s="2" t="s">
        <v>28</v>
      </c>
    </row>
    <row r="44" spans="1:1" x14ac:dyDescent="0.25">
      <c r="A44" t="s">
        <v>26</v>
      </c>
    </row>
    <row r="45" spans="1:1" x14ac:dyDescent="0.25">
      <c r="A45" t="s">
        <v>26</v>
      </c>
    </row>
    <row r="46" spans="1:1" x14ac:dyDescent="0.25">
      <c r="A46" t="s">
        <v>26</v>
      </c>
    </row>
    <row r="48" spans="1:1" x14ac:dyDescent="0.25">
      <c r="A48" s="2" t="s">
        <v>29</v>
      </c>
    </row>
    <row r="49" spans="1:8" x14ac:dyDescent="0.25">
      <c r="A49" t="s">
        <v>26</v>
      </c>
    </row>
    <row r="50" spans="1:8" x14ac:dyDescent="0.25">
      <c r="A50" t="s">
        <v>26</v>
      </c>
    </row>
    <row r="51" spans="1:8" x14ac:dyDescent="0.25">
      <c r="A51" t="s">
        <v>26</v>
      </c>
    </row>
    <row r="53" spans="1:8" ht="15.75" x14ac:dyDescent="0.25">
      <c r="A53" s="10" t="s">
        <v>30</v>
      </c>
      <c r="B53" s="9"/>
      <c r="C53" s="9"/>
      <c r="D53" s="9"/>
      <c r="E53" s="9"/>
      <c r="F53" s="9"/>
      <c r="G53" s="9"/>
      <c r="H53" s="9"/>
    </row>
    <row r="55" spans="1:8" x14ac:dyDescent="0.25">
      <c r="A55" s="2" t="s">
        <v>31</v>
      </c>
    </row>
    <row r="56" spans="1:8" x14ac:dyDescent="0.25">
      <c r="A56" t="s">
        <v>32</v>
      </c>
    </row>
    <row r="57" spans="1:8" x14ac:dyDescent="0.25">
      <c r="A57" t="s">
        <v>33</v>
      </c>
    </row>
    <row r="59" spans="1:8" x14ac:dyDescent="0.25">
      <c r="A59" s="2" t="s">
        <v>34</v>
      </c>
    </row>
    <row r="60" spans="1:8" x14ac:dyDescent="0.25">
      <c r="A60" t="s">
        <v>35</v>
      </c>
    </row>
    <row r="61" spans="1:8" x14ac:dyDescent="0.25">
      <c r="A61" t="s">
        <v>36</v>
      </c>
    </row>
    <row r="62" spans="1:8" x14ac:dyDescent="0.25">
      <c r="A62" t="s">
        <v>37</v>
      </c>
    </row>
    <row r="64" spans="1:8" x14ac:dyDescent="0.25">
      <c r="A64" s="2" t="s">
        <v>38</v>
      </c>
    </row>
    <row r="65" spans="1:1" x14ac:dyDescent="0.25">
      <c r="A65" t="s">
        <v>39</v>
      </c>
    </row>
    <row r="66" spans="1:1" x14ac:dyDescent="0.25">
      <c r="A66" t="s">
        <v>40</v>
      </c>
    </row>
    <row r="67" spans="1:1" x14ac:dyDescent="0.25">
      <c r="A67" t="s">
        <v>41</v>
      </c>
    </row>
    <row r="68" spans="1:1" x14ac:dyDescent="0.25">
      <c r="A68" t="s">
        <v>42</v>
      </c>
    </row>
  </sheetData>
  <mergeCells count="5">
    <mergeCell ref="A1:H1"/>
    <mergeCell ref="A53:H53"/>
    <mergeCell ref="A5:H5"/>
    <mergeCell ref="A31:H3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opLeftCell="A6" workbookViewId="0">
      <selection sqref="A1:I1"/>
    </sheetView>
  </sheetViews>
  <sheetFormatPr defaultRowHeight="15" x14ac:dyDescent="0.25"/>
  <cols>
    <col min="1" max="1" width="19.140625" customWidth="1"/>
    <col min="2" max="3" width="15" customWidth="1"/>
    <col min="4" max="4" width="25" customWidth="1"/>
    <col min="5" max="9" width="15" customWidth="1"/>
  </cols>
  <sheetData>
    <row r="1" spans="1:9" ht="21" x14ac:dyDescent="0.35">
      <c r="A1" s="8" t="s">
        <v>43</v>
      </c>
      <c r="B1" s="9"/>
      <c r="C1" s="9"/>
      <c r="D1" s="9"/>
      <c r="E1" s="9"/>
      <c r="F1" s="9"/>
      <c r="G1" s="9"/>
      <c r="H1" s="9"/>
      <c r="I1" s="9"/>
    </row>
    <row r="3" spans="1:9" ht="15.75" x14ac:dyDescent="0.25">
      <c r="A3" s="10" t="s">
        <v>44</v>
      </c>
      <c r="B3" s="9"/>
      <c r="C3" s="9"/>
      <c r="D3" s="10" t="s">
        <v>45</v>
      </c>
      <c r="E3" s="9"/>
      <c r="F3" s="9"/>
      <c r="G3" s="10" t="s">
        <v>46</v>
      </c>
      <c r="H3" s="9"/>
      <c r="I3" s="9"/>
    </row>
    <row r="5" spans="1:9" x14ac:dyDescent="0.25">
      <c r="A5" t="s">
        <v>47</v>
      </c>
      <c r="D5" t="s">
        <v>48</v>
      </c>
    </row>
    <row r="7" spans="1:9" x14ac:dyDescent="0.25">
      <c r="A7" t="s">
        <v>49</v>
      </c>
      <c r="D7" t="s">
        <v>50</v>
      </c>
    </row>
    <row r="9" spans="1:9" x14ac:dyDescent="0.25">
      <c r="D9" t="s">
        <v>51</v>
      </c>
    </row>
    <row r="16" spans="1:9" ht="15.75" x14ac:dyDescent="0.25">
      <c r="A16" s="10" t="s">
        <v>52</v>
      </c>
      <c r="B16" s="9"/>
      <c r="C16" s="9"/>
      <c r="G16" s="10" t="s">
        <v>53</v>
      </c>
      <c r="H16" s="9"/>
      <c r="I16" s="9"/>
    </row>
    <row r="29" spans="1:9" ht="15.75" x14ac:dyDescent="0.25">
      <c r="A29" s="10" t="s">
        <v>54</v>
      </c>
      <c r="B29" s="9"/>
      <c r="C29" s="9"/>
      <c r="G29" s="10" t="s">
        <v>55</v>
      </c>
      <c r="H29" s="9"/>
      <c r="I29" s="9"/>
    </row>
    <row r="31" spans="1:9" x14ac:dyDescent="0.25">
      <c r="G31" t="s">
        <v>56</v>
      </c>
    </row>
    <row r="33" spans="1:9" x14ac:dyDescent="0.25">
      <c r="G33" t="s">
        <v>57</v>
      </c>
    </row>
    <row r="35" spans="1:9" x14ac:dyDescent="0.25">
      <c r="G35" t="s">
        <v>58</v>
      </c>
    </row>
    <row r="37" spans="1:9" x14ac:dyDescent="0.25">
      <c r="G37" t="s">
        <v>59</v>
      </c>
    </row>
    <row r="42" spans="1:9" ht="15.75" x14ac:dyDescent="0.25">
      <c r="A42" s="10" t="s">
        <v>60</v>
      </c>
      <c r="B42" s="9"/>
      <c r="C42" s="9"/>
      <c r="D42" s="9"/>
      <c r="E42" s="9"/>
      <c r="F42" s="10" t="s">
        <v>61</v>
      </c>
      <c r="G42" s="9"/>
      <c r="H42" s="9"/>
      <c r="I42" s="9"/>
    </row>
    <row r="44" spans="1:9" x14ac:dyDescent="0.25">
      <c r="F44" t="s">
        <v>62</v>
      </c>
    </row>
    <row r="46" spans="1:9" x14ac:dyDescent="0.25">
      <c r="F46" t="s">
        <v>63</v>
      </c>
    </row>
    <row r="48" spans="1:9" x14ac:dyDescent="0.25">
      <c r="F48" t="s">
        <v>64</v>
      </c>
    </row>
  </sheetData>
  <mergeCells count="10">
    <mergeCell ref="G16:I16"/>
    <mergeCell ref="A42:E42"/>
    <mergeCell ref="A1:I1"/>
    <mergeCell ref="D3:F3"/>
    <mergeCell ref="A3:C3"/>
    <mergeCell ref="G3:I3"/>
    <mergeCell ref="A29:C29"/>
    <mergeCell ref="G29:I29"/>
    <mergeCell ref="A16:C16"/>
    <mergeCell ref="F42:I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sqref="A1:G1"/>
    </sheetView>
  </sheetViews>
  <sheetFormatPr defaultRowHeight="15" x14ac:dyDescent="0.25"/>
  <cols>
    <col min="1" max="1" width="43" customWidth="1"/>
    <col min="2" max="7" width="18" customWidth="1"/>
  </cols>
  <sheetData>
    <row r="1" spans="1:7" ht="21" x14ac:dyDescent="0.35">
      <c r="A1" s="8" t="s">
        <v>65</v>
      </c>
      <c r="B1" s="9"/>
      <c r="C1" s="9"/>
      <c r="D1" s="9"/>
      <c r="E1" s="9"/>
      <c r="F1" s="9"/>
      <c r="G1" s="9"/>
    </row>
    <row r="3" spans="1:7" x14ac:dyDescent="0.25">
      <c r="A3" s="9" t="s">
        <v>66</v>
      </c>
      <c r="B3" s="9"/>
      <c r="C3" s="9"/>
      <c r="D3" s="9"/>
      <c r="E3" s="9"/>
      <c r="F3" s="9"/>
      <c r="G3" s="9"/>
    </row>
    <row r="5" spans="1:7" ht="15.75" x14ac:dyDescent="0.25">
      <c r="A5" s="10" t="s">
        <v>67</v>
      </c>
      <c r="B5" s="9"/>
      <c r="C5" s="9"/>
      <c r="D5" s="9"/>
      <c r="E5" s="9"/>
      <c r="F5" s="9"/>
      <c r="G5" s="9"/>
    </row>
    <row r="6" spans="1:7" x14ac:dyDescent="0.25">
      <c r="A6" s="3" t="s">
        <v>68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73</v>
      </c>
      <c r="G6" s="3" t="s">
        <v>74</v>
      </c>
    </row>
    <row r="7" spans="1:7" x14ac:dyDescent="0.25">
      <c r="A7" t="s">
        <v>75</v>
      </c>
      <c r="F7" t="s">
        <v>76</v>
      </c>
    </row>
    <row r="8" spans="1:7" x14ac:dyDescent="0.25">
      <c r="A8" t="s">
        <v>77</v>
      </c>
      <c r="F8" t="s">
        <v>76</v>
      </c>
    </row>
    <row r="9" spans="1:7" x14ac:dyDescent="0.25">
      <c r="A9" t="s">
        <v>78</v>
      </c>
      <c r="F9" t="s">
        <v>76</v>
      </c>
    </row>
    <row r="10" spans="1:7" x14ac:dyDescent="0.25">
      <c r="A10" t="s">
        <v>79</v>
      </c>
      <c r="F10" t="s">
        <v>76</v>
      </c>
    </row>
    <row r="12" spans="1:7" ht="15.75" x14ac:dyDescent="0.25">
      <c r="A12" s="10" t="s">
        <v>80</v>
      </c>
      <c r="B12" s="9"/>
      <c r="C12" s="9"/>
      <c r="D12" s="9"/>
      <c r="E12" s="9"/>
      <c r="F12" s="9"/>
      <c r="G12" s="9"/>
    </row>
    <row r="13" spans="1:7" x14ac:dyDescent="0.25">
      <c r="A13" s="3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74</v>
      </c>
    </row>
    <row r="14" spans="1:7" x14ac:dyDescent="0.25">
      <c r="A14" t="s">
        <v>81</v>
      </c>
      <c r="F14" t="s">
        <v>76</v>
      </c>
    </row>
    <row r="15" spans="1:7" x14ac:dyDescent="0.25">
      <c r="A15" t="s">
        <v>82</v>
      </c>
      <c r="F15" t="s">
        <v>76</v>
      </c>
    </row>
    <row r="16" spans="1:7" x14ac:dyDescent="0.25">
      <c r="A16" t="s">
        <v>83</v>
      </c>
      <c r="F16" t="s">
        <v>76</v>
      </c>
    </row>
    <row r="17" spans="1:7" x14ac:dyDescent="0.25">
      <c r="A17" t="s">
        <v>84</v>
      </c>
      <c r="F17" t="s">
        <v>76</v>
      </c>
    </row>
    <row r="19" spans="1:7" ht="15.75" x14ac:dyDescent="0.25">
      <c r="A19" s="10" t="s">
        <v>85</v>
      </c>
      <c r="B19" s="9"/>
      <c r="C19" s="9"/>
      <c r="D19" s="9"/>
      <c r="E19" s="9"/>
      <c r="F19" s="9"/>
      <c r="G19" s="9"/>
    </row>
    <row r="20" spans="1:7" x14ac:dyDescent="0.25">
      <c r="A20" s="3" t="s">
        <v>68</v>
      </c>
      <c r="B20" s="3" t="s">
        <v>69</v>
      </c>
      <c r="C20" s="3" t="s">
        <v>70</v>
      </c>
      <c r="D20" s="3" t="s">
        <v>71</v>
      </c>
      <c r="E20" s="3" t="s">
        <v>72</v>
      </c>
      <c r="F20" s="3" t="s">
        <v>73</v>
      </c>
      <c r="G20" s="3" t="s">
        <v>74</v>
      </c>
    </row>
    <row r="21" spans="1:7" x14ac:dyDescent="0.25">
      <c r="A21" t="s">
        <v>86</v>
      </c>
      <c r="F21" t="s">
        <v>76</v>
      </c>
    </row>
    <row r="22" spans="1:7" x14ac:dyDescent="0.25">
      <c r="A22" t="s">
        <v>87</v>
      </c>
      <c r="F22" t="s">
        <v>76</v>
      </c>
    </row>
    <row r="23" spans="1:7" x14ac:dyDescent="0.25">
      <c r="A23" t="s">
        <v>88</v>
      </c>
      <c r="F23" t="s">
        <v>76</v>
      </c>
    </row>
    <row r="24" spans="1:7" x14ac:dyDescent="0.25">
      <c r="A24" t="s">
        <v>89</v>
      </c>
      <c r="F24" t="s">
        <v>76</v>
      </c>
    </row>
    <row r="26" spans="1:7" ht="15.75" x14ac:dyDescent="0.25">
      <c r="A26" s="10" t="s">
        <v>90</v>
      </c>
      <c r="B26" s="9"/>
      <c r="C26" s="9"/>
      <c r="D26" s="9"/>
      <c r="E26" s="9"/>
      <c r="F26" s="9"/>
      <c r="G26" s="9"/>
    </row>
    <row r="27" spans="1:7" x14ac:dyDescent="0.25">
      <c r="A27" s="3" t="s">
        <v>68</v>
      </c>
      <c r="B27" s="3" t="s">
        <v>69</v>
      </c>
      <c r="C27" s="3" t="s">
        <v>70</v>
      </c>
      <c r="D27" s="3" t="s">
        <v>71</v>
      </c>
      <c r="E27" s="3" t="s">
        <v>72</v>
      </c>
      <c r="F27" s="3" t="s">
        <v>73</v>
      </c>
      <c r="G27" s="3" t="s">
        <v>74</v>
      </c>
    </row>
    <row r="28" spans="1:7" x14ac:dyDescent="0.25">
      <c r="A28" t="s">
        <v>91</v>
      </c>
      <c r="F28" t="s">
        <v>76</v>
      </c>
    </row>
    <row r="29" spans="1:7" x14ac:dyDescent="0.25">
      <c r="A29" t="s">
        <v>92</v>
      </c>
      <c r="F29" t="s">
        <v>76</v>
      </c>
    </row>
    <row r="30" spans="1:7" x14ac:dyDescent="0.25">
      <c r="A30" t="s">
        <v>93</v>
      </c>
      <c r="F30" t="s">
        <v>76</v>
      </c>
    </row>
    <row r="31" spans="1:7" x14ac:dyDescent="0.25">
      <c r="A31" t="s">
        <v>94</v>
      </c>
      <c r="F31" t="s">
        <v>76</v>
      </c>
    </row>
  </sheetData>
  <mergeCells count="6">
    <mergeCell ref="A1:G1"/>
    <mergeCell ref="A3:G3"/>
    <mergeCell ref="A12:G12"/>
    <mergeCell ref="A26:G26"/>
    <mergeCell ref="A19:G19"/>
    <mergeCell ref="A5:G5"/>
  </mergeCells>
  <dataValidations count="2">
    <dataValidation type="list" sqref="F7:F31" xr:uid="{00000000-0002-0000-0200-000000000000}">
      <formula1>"Not Tested,Testing,Validated,Refuted"</formula1>
    </dataValidation>
    <dataValidation type="whole" sqref="B7:C31" xr:uid="{00000000-0002-0000-0200-000001000000}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workbookViewId="0">
      <selection activeCell="J25" sqref="J25"/>
    </sheetView>
  </sheetViews>
  <sheetFormatPr defaultRowHeight="15" x14ac:dyDescent="0.25"/>
  <cols>
    <col min="1" max="1" width="26.5703125" customWidth="1"/>
    <col min="2" max="2" width="22.28515625" customWidth="1"/>
    <col min="3" max="3" width="23.140625" customWidth="1"/>
    <col min="4" max="4" width="23.28515625" customWidth="1"/>
    <col min="5" max="5" width="24.42578125" customWidth="1"/>
    <col min="6" max="6" width="17.42578125" customWidth="1"/>
    <col min="7" max="7" width="17" customWidth="1"/>
    <col min="8" max="8" width="20.85546875" customWidth="1"/>
  </cols>
  <sheetData>
    <row r="1" spans="1:8" ht="21" x14ac:dyDescent="0.35">
      <c r="A1" s="8" t="s">
        <v>95</v>
      </c>
      <c r="B1" s="9"/>
      <c r="C1" s="9"/>
      <c r="D1" s="9"/>
      <c r="E1" s="9"/>
      <c r="F1" s="9"/>
      <c r="G1" s="9"/>
      <c r="H1" s="9"/>
    </row>
    <row r="3" spans="1:8" x14ac:dyDescent="0.25">
      <c r="A3" s="9" t="s">
        <v>96</v>
      </c>
      <c r="B3" s="9"/>
      <c r="C3" s="9"/>
      <c r="D3" s="9"/>
      <c r="E3" s="9"/>
      <c r="F3" s="9"/>
      <c r="G3" s="9"/>
      <c r="H3" s="9"/>
    </row>
    <row r="5" spans="1:8" x14ac:dyDescent="0.25">
      <c r="A5" s="3" t="s">
        <v>97</v>
      </c>
      <c r="B5" s="3" t="s">
        <v>98</v>
      </c>
      <c r="C5" s="3" t="s">
        <v>99</v>
      </c>
      <c r="D5" s="3" t="s">
        <v>100</v>
      </c>
      <c r="E5" s="3" t="s">
        <v>101</v>
      </c>
      <c r="F5" s="3" t="s">
        <v>102</v>
      </c>
      <c r="G5" s="3" t="s">
        <v>103</v>
      </c>
      <c r="H5" s="3" t="s">
        <v>104</v>
      </c>
    </row>
    <row r="6" spans="1:8" x14ac:dyDescent="0.25">
      <c r="A6" t="s">
        <v>105</v>
      </c>
      <c r="G6">
        <f t="shared" ref="G6:G15" si="0">(B6+C6+D6-E6-F6)/3</f>
        <v>0</v>
      </c>
      <c r="H6" t="str">
        <f t="shared" ref="H6:H15" si="1">IF(G6&gt;=4,"Must Have",IF(G6&gt;=2.5,"Should Have",IF(G6&gt;=1,"Could Have","Won't Have")))</f>
        <v>Won't Have</v>
      </c>
    </row>
    <row r="7" spans="1:8" x14ac:dyDescent="0.25">
      <c r="A7" t="s">
        <v>106</v>
      </c>
      <c r="G7">
        <f t="shared" si="0"/>
        <v>0</v>
      </c>
      <c r="H7" t="str">
        <f t="shared" si="1"/>
        <v>Won't Have</v>
      </c>
    </row>
    <row r="8" spans="1:8" x14ac:dyDescent="0.25">
      <c r="A8" t="s">
        <v>107</v>
      </c>
      <c r="G8">
        <f t="shared" si="0"/>
        <v>0</v>
      </c>
      <c r="H8" t="str">
        <f t="shared" si="1"/>
        <v>Won't Have</v>
      </c>
    </row>
    <row r="9" spans="1:8" x14ac:dyDescent="0.25">
      <c r="A9" t="s">
        <v>108</v>
      </c>
      <c r="G9">
        <f t="shared" si="0"/>
        <v>0</v>
      </c>
      <c r="H9" t="str">
        <f t="shared" si="1"/>
        <v>Won't Have</v>
      </c>
    </row>
    <row r="10" spans="1:8" x14ac:dyDescent="0.25">
      <c r="A10" t="s">
        <v>109</v>
      </c>
      <c r="G10">
        <f t="shared" si="0"/>
        <v>0</v>
      </c>
      <c r="H10" t="str">
        <f t="shared" si="1"/>
        <v>Won't Have</v>
      </c>
    </row>
    <row r="11" spans="1:8" x14ac:dyDescent="0.25">
      <c r="A11" t="s">
        <v>110</v>
      </c>
      <c r="G11">
        <f t="shared" si="0"/>
        <v>0</v>
      </c>
      <c r="H11" t="str">
        <f t="shared" si="1"/>
        <v>Won't Have</v>
      </c>
    </row>
    <row r="12" spans="1:8" x14ac:dyDescent="0.25">
      <c r="A12" t="s">
        <v>111</v>
      </c>
      <c r="G12">
        <f t="shared" si="0"/>
        <v>0</v>
      </c>
      <c r="H12" t="str">
        <f t="shared" si="1"/>
        <v>Won't Have</v>
      </c>
    </row>
    <row r="13" spans="1:8" x14ac:dyDescent="0.25">
      <c r="A13" t="s">
        <v>112</v>
      </c>
      <c r="G13">
        <f t="shared" si="0"/>
        <v>0</v>
      </c>
      <c r="H13" t="str">
        <f t="shared" si="1"/>
        <v>Won't Have</v>
      </c>
    </row>
    <row r="14" spans="1:8" x14ac:dyDescent="0.25">
      <c r="A14" t="s">
        <v>113</v>
      </c>
      <c r="G14">
        <f t="shared" si="0"/>
        <v>0</v>
      </c>
      <c r="H14" t="str">
        <f t="shared" si="1"/>
        <v>Won't Have</v>
      </c>
    </row>
    <row r="15" spans="1:8" x14ac:dyDescent="0.25">
      <c r="A15" t="s">
        <v>114</v>
      </c>
      <c r="G15">
        <f t="shared" si="0"/>
        <v>0</v>
      </c>
      <c r="H15" t="str">
        <f t="shared" si="1"/>
        <v>Won't Have</v>
      </c>
    </row>
    <row r="18" spans="1:8" ht="15.75" x14ac:dyDescent="0.25">
      <c r="A18" s="10" t="s">
        <v>115</v>
      </c>
      <c r="B18" s="9"/>
      <c r="C18" s="9"/>
      <c r="D18" s="9"/>
      <c r="E18" s="9"/>
      <c r="F18" s="9"/>
      <c r="G18" s="9"/>
      <c r="H18" s="9"/>
    </row>
    <row r="20" spans="1:8" x14ac:dyDescent="0.25">
      <c r="A20" s="11" t="s">
        <v>116</v>
      </c>
      <c r="B20" s="9"/>
      <c r="C20" s="9"/>
      <c r="D20" s="9"/>
      <c r="E20" s="9"/>
      <c r="F20" s="9"/>
      <c r="G20" s="9"/>
      <c r="H20" s="9"/>
    </row>
    <row r="21" spans="1:8" x14ac:dyDescent="0.25">
      <c r="A21" t="s">
        <v>117</v>
      </c>
    </row>
    <row r="22" spans="1:8" x14ac:dyDescent="0.25">
      <c r="A22" t="s">
        <v>118</v>
      </c>
    </row>
    <row r="23" spans="1:8" x14ac:dyDescent="0.25">
      <c r="A23" t="s">
        <v>119</v>
      </c>
    </row>
    <row r="25" spans="1:8" x14ac:dyDescent="0.25">
      <c r="A25" s="11" t="s">
        <v>120</v>
      </c>
      <c r="B25" s="9"/>
      <c r="C25" s="9"/>
      <c r="D25" s="9"/>
      <c r="E25" s="9"/>
      <c r="F25" s="9"/>
      <c r="G25" s="9"/>
      <c r="H25" s="9"/>
    </row>
    <row r="26" spans="1:8" x14ac:dyDescent="0.25">
      <c r="A26" t="s">
        <v>117</v>
      </c>
    </row>
    <row r="27" spans="1:8" x14ac:dyDescent="0.25">
      <c r="A27" t="s">
        <v>118</v>
      </c>
    </row>
    <row r="28" spans="1:8" x14ac:dyDescent="0.25">
      <c r="A28" t="s">
        <v>119</v>
      </c>
    </row>
    <row r="30" spans="1:8" x14ac:dyDescent="0.25">
      <c r="A30" s="11" t="s">
        <v>121</v>
      </c>
      <c r="B30" s="9"/>
      <c r="C30" s="9"/>
      <c r="D30" s="9"/>
      <c r="E30" s="9"/>
      <c r="F30" s="9"/>
      <c r="G30" s="9"/>
      <c r="H30" s="9"/>
    </row>
    <row r="31" spans="1:8" x14ac:dyDescent="0.25">
      <c r="A31" t="s">
        <v>117</v>
      </c>
    </row>
    <row r="32" spans="1:8" x14ac:dyDescent="0.25">
      <c r="A32" t="s">
        <v>118</v>
      </c>
    </row>
    <row r="33" spans="1:8" x14ac:dyDescent="0.25">
      <c r="A33" t="s">
        <v>119</v>
      </c>
    </row>
    <row r="35" spans="1:8" x14ac:dyDescent="0.25">
      <c r="A35" s="11" t="s">
        <v>122</v>
      </c>
      <c r="B35" s="9"/>
      <c r="C35" s="9"/>
      <c r="D35" s="9"/>
      <c r="E35" s="9"/>
      <c r="F35" s="9"/>
      <c r="G35" s="9"/>
      <c r="H35" s="9"/>
    </row>
    <row r="36" spans="1:8" x14ac:dyDescent="0.25">
      <c r="A36" t="s">
        <v>117</v>
      </c>
    </row>
    <row r="37" spans="1:8" x14ac:dyDescent="0.25">
      <c r="A37" t="s">
        <v>118</v>
      </c>
    </row>
    <row r="38" spans="1:8" x14ac:dyDescent="0.25">
      <c r="A38" t="s">
        <v>119</v>
      </c>
    </row>
  </sheetData>
  <mergeCells count="7">
    <mergeCell ref="A1:H1"/>
    <mergeCell ref="A18:H18"/>
    <mergeCell ref="A3:H3"/>
    <mergeCell ref="A30:H30"/>
    <mergeCell ref="A35:H35"/>
    <mergeCell ref="A25:H25"/>
    <mergeCell ref="A20:H20"/>
  </mergeCells>
  <dataValidations count="1">
    <dataValidation type="whole" sqref="B6:F15" xr:uid="{00000000-0002-0000-0300-000000000000}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"/>
  <sheetViews>
    <sheetView topLeftCell="A12" workbookViewId="0">
      <selection activeCell="C31" sqref="C31"/>
    </sheetView>
  </sheetViews>
  <sheetFormatPr defaultRowHeight="15" x14ac:dyDescent="0.25"/>
  <cols>
    <col min="1" max="1" width="27.85546875" customWidth="1"/>
    <col min="2" max="2" width="23" customWidth="1"/>
    <col min="3" max="3" width="21.28515625" customWidth="1"/>
    <col min="4" max="6" width="14" customWidth="1"/>
    <col min="7" max="7" width="20.140625" customWidth="1"/>
    <col min="8" max="8" width="22" customWidth="1"/>
    <col min="9" max="9" width="20.28515625" customWidth="1"/>
    <col min="10" max="10" width="16.28515625" customWidth="1"/>
    <col min="11" max="11" width="20" customWidth="1"/>
    <col min="12" max="12" width="16.28515625" customWidth="1"/>
  </cols>
  <sheetData>
    <row r="1" spans="1:12" ht="21" x14ac:dyDescent="0.35">
      <c r="A1" s="8" t="s">
        <v>123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 x14ac:dyDescent="0.25">
      <c r="A3" s="3" t="s">
        <v>124</v>
      </c>
      <c r="B3" s="3" t="s">
        <v>125</v>
      </c>
      <c r="C3" s="3" t="s">
        <v>126</v>
      </c>
      <c r="D3" s="3" t="s">
        <v>127</v>
      </c>
      <c r="E3" s="3" t="s">
        <v>128</v>
      </c>
      <c r="F3" s="3" t="s">
        <v>129</v>
      </c>
      <c r="G3" s="3" t="s">
        <v>130</v>
      </c>
      <c r="H3" s="3" t="s">
        <v>131</v>
      </c>
      <c r="I3" s="3" t="s">
        <v>132</v>
      </c>
      <c r="J3" s="3" t="s">
        <v>133</v>
      </c>
      <c r="K3" s="3" t="s">
        <v>134</v>
      </c>
      <c r="L3" s="3" t="s">
        <v>73</v>
      </c>
    </row>
    <row r="4" spans="1:12" x14ac:dyDescent="0.25">
      <c r="A4" t="s">
        <v>135</v>
      </c>
      <c r="F4" t="s">
        <v>136</v>
      </c>
      <c r="L4" t="s">
        <v>137</v>
      </c>
    </row>
    <row r="5" spans="1:12" x14ac:dyDescent="0.25">
      <c r="A5" t="s">
        <v>138</v>
      </c>
      <c r="F5" t="s">
        <v>136</v>
      </c>
      <c r="L5" t="s">
        <v>137</v>
      </c>
    </row>
    <row r="6" spans="1:12" x14ac:dyDescent="0.25">
      <c r="A6" t="s">
        <v>139</v>
      </c>
      <c r="F6" t="s">
        <v>136</v>
      </c>
      <c r="L6" t="s">
        <v>137</v>
      </c>
    </row>
    <row r="7" spans="1:12" x14ac:dyDescent="0.25">
      <c r="A7" t="s">
        <v>140</v>
      </c>
      <c r="F7" t="s">
        <v>136</v>
      </c>
      <c r="L7" t="s">
        <v>137</v>
      </c>
    </row>
    <row r="8" spans="1:12" x14ac:dyDescent="0.25">
      <c r="A8" t="s">
        <v>141</v>
      </c>
      <c r="F8" t="s">
        <v>136</v>
      </c>
      <c r="L8" t="s">
        <v>137</v>
      </c>
    </row>
    <row r="9" spans="1:12" x14ac:dyDescent="0.25">
      <c r="A9" t="s">
        <v>142</v>
      </c>
      <c r="F9" t="s">
        <v>136</v>
      </c>
      <c r="L9" t="s">
        <v>137</v>
      </c>
    </row>
    <row r="10" spans="1:12" x14ac:dyDescent="0.25">
      <c r="A10" t="s">
        <v>143</v>
      </c>
      <c r="F10" t="s">
        <v>136</v>
      </c>
      <c r="L10" t="s">
        <v>137</v>
      </c>
    </row>
    <row r="11" spans="1:12" x14ac:dyDescent="0.25">
      <c r="A11" t="s">
        <v>144</v>
      </c>
      <c r="F11" t="s">
        <v>136</v>
      </c>
      <c r="L11" t="s">
        <v>137</v>
      </c>
    </row>
    <row r="12" spans="1:12" x14ac:dyDescent="0.25">
      <c r="A12" t="s">
        <v>145</v>
      </c>
      <c r="F12" t="s">
        <v>136</v>
      </c>
      <c r="L12" t="s">
        <v>137</v>
      </c>
    </row>
    <row r="13" spans="1:12" x14ac:dyDescent="0.25">
      <c r="A13" t="s">
        <v>146</v>
      </c>
      <c r="F13" t="s">
        <v>136</v>
      </c>
      <c r="L13" t="s">
        <v>137</v>
      </c>
    </row>
    <row r="14" spans="1:12" x14ac:dyDescent="0.25">
      <c r="A14" t="s">
        <v>147</v>
      </c>
      <c r="F14" t="s">
        <v>136</v>
      </c>
      <c r="L14" t="s">
        <v>137</v>
      </c>
    </row>
    <row r="15" spans="1:12" x14ac:dyDescent="0.25">
      <c r="A15" t="s">
        <v>148</v>
      </c>
      <c r="F15" t="s">
        <v>136</v>
      </c>
      <c r="L15" t="s">
        <v>137</v>
      </c>
    </row>
    <row r="16" spans="1:12" x14ac:dyDescent="0.25">
      <c r="A16" t="s">
        <v>149</v>
      </c>
      <c r="F16" t="s">
        <v>136</v>
      </c>
      <c r="L16" t="s">
        <v>137</v>
      </c>
    </row>
    <row r="17" spans="1:12" x14ac:dyDescent="0.25">
      <c r="A17" t="s">
        <v>150</v>
      </c>
      <c r="F17" t="s">
        <v>136</v>
      </c>
      <c r="L17" t="s">
        <v>137</v>
      </c>
    </row>
    <row r="18" spans="1:12" x14ac:dyDescent="0.25">
      <c r="A18" t="s">
        <v>151</v>
      </c>
      <c r="F18" t="s">
        <v>136</v>
      </c>
      <c r="L18" t="s">
        <v>137</v>
      </c>
    </row>
    <row r="19" spans="1:12" x14ac:dyDescent="0.25">
      <c r="A19" t="s">
        <v>152</v>
      </c>
      <c r="F19" t="s">
        <v>136</v>
      </c>
      <c r="L19" t="s">
        <v>137</v>
      </c>
    </row>
    <row r="20" spans="1:12" x14ac:dyDescent="0.25">
      <c r="A20" t="s">
        <v>153</v>
      </c>
      <c r="F20" t="s">
        <v>136</v>
      </c>
      <c r="L20" t="s">
        <v>137</v>
      </c>
    </row>
    <row r="21" spans="1:12" x14ac:dyDescent="0.25">
      <c r="A21" t="s">
        <v>154</v>
      </c>
      <c r="F21" t="s">
        <v>136</v>
      </c>
      <c r="L21" t="s">
        <v>137</v>
      </c>
    </row>
    <row r="22" spans="1:12" x14ac:dyDescent="0.25">
      <c r="A22" t="s">
        <v>155</v>
      </c>
      <c r="F22" t="s">
        <v>136</v>
      </c>
      <c r="L22" t="s">
        <v>137</v>
      </c>
    </row>
    <row r="23" spans="1:12" x14ac:dyDescent="0.25">
      <c r="A23" t="s">
        <v>156</v>
      </c>
      <c r="F23" t="s">
        <v>136</v>
      </c>
      <c r="L23" t="s">
        <v>137</v>
      </c>
    </row>
    <row r="26" spans="1:12" ht="15.75" x14ac:dyDescent="0.25">
      <c r="A26" s="10" t="s">
        <v>157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8" spans="1:12" x14ac:dyDescent="0.25">
      <c r="A28" t="s">
        <v>158</v>
      </c>
      <c r="B28">
        <f>COUNTIF(L4:L23,"Completed")</f>
        <v>0</v>
      </c>
    </row>
    <row r="29" spans="1:12" x14ac:dyDescent="0.25">
      <c r="A29" t="s">
        <v>159</v>
      </c>
      <c r="B29" s="4" t="e">
        <f>COUNTIF(G4:G23,"Yes")/COUNTIF(L4:L23,"Completed")</f>
        <v>#DIV/0!</v>
      </c>
    </row>
    <row r="30" spans="1:12" x14ac:dyDescent="0.25">
      <c r="A30" t="s">
        <v>160</v>
      </c>
      <c r="B30" s="4" t="e">
        <f>COUNTIF(H4:H23,"High")/COUNTIF(L4:L23,"Completed")</f>
        <v>#DIV/0!</v>
      </c>
    </row>
    <row r="31" spans="1:12" x14ac:dyDescent="0.25">
      <c r="A31" t="s">
        <v>161</v>
      </c>
      <c r="B31" s="4" t="e">
        <f>COUNTIF(I4:I23,"Yes")/COUNTIF(L4:L23,"Completed")</f>
        <v>#DIV/0!</v>
      </c>
    </row>
    <row r="33" spans="1:12" x14ac:dyDescent="0.25">
      <c r="A33" s="11" t="s">
        <v>162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5" t="s">
        <v>163</v>
      </c>
    </row>
    <row r="35" spans="1:12" x14ac:dyDescent="0.25">
      <c r="A35" s="5" t="s">
        <v>164</v>
      </c>
    </row>
    <row r="36" spans="1:12" x14ac:dyDescent="0.25">
      <c r="A36" s="5" t="s">
        <v>165</v>
      </c>
    </row>
    <row r="37" spans="1:12" x14ac:dyDescent="0.25">
      <c r="A37" s="5" t="s">
        <v>166</v>
      </c>
    </row>
    <row r="38" spans="1:12" x14ac:dyDescent="0.25">
      <c r="A38" s="5" t="s">
        <v>167</v>
      </c>
    </row>
  </sheetData>
  <mergeCells count="3">
    <mergeCell ref="A26:L26"/>
    <mergeCell ref="A33:L33"/>
    <mergeCell ref="A1:L1"/>
  </mergeCells>
  <dataValidations count="4">
    <dataValidation type="list" sqref="G4:G23 I4:I23" xr:uid="{00000000-0002-0000-0400-000000000000}">
      <formula1>"Yes,No,Unclear"</formula1>
    </dataValidation>
    <dataValidation type="list" sqref="H4:H23" xr:uid="{00000000-0002-0000-0400-000001000000}">
      <formula1>"High,Medium,Low"</formula1>
    </dataValidation>
    <dataValidation type="list" sqref="F4:F23" xr:uid="{00000000-0002-0000-0400-000002000000}">
      <formula1>"Video Call,Phone,In-Person,Email"</formula1>
    </dataValidation>
    <dataValidation type="list" sqref="L4:L23" xr:uid="{00000000-0002-0000-0400-000003000000}">
      <formula1>"Planned,Scheduled,Completed,Cancelled"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workbookViewId="0">
      <selection activeCell="L17" sqref="L17"/>
    </sheetView>
  </sheetViews>
  <sheetFormatPr defaultRowHeight="15" x14ac:dyDescent="0.25"/>
  <cols>
    <col min="1" max="1" width="42.7109375" customWidth="1"/>
    <col min="2" max="8" width="18" customWidth="1"/>
  </cols>
  <sheetData>
    <row r="1" spans="1:8" ht="21" x14ac:dyDescent="0.35">
      <c r="A1" s="8" t="s">
        <v>168</v>
      </c>
      <c r="B1" s="9"/>
      <c r="C1" s="9"/>
      <c r="D1" s="9"/>
      <c r="E1" s="9"/>
      <c r="F1" s="9"/>
      <c r="G1" s="9"/>
      <c r="H1" s="9"/>
    </row>
    <row r="3" spans="1:8" x14ac:dyDescent="0.25">
      <c r="A3" s="1" t="s">
        <v>169</v>
      </c>
      <c r="C3" s="1" t="s">
        <v>170</v>
      </c>
      <c r="E3" t="s">
        <v>171</v>
      </c>
    </row>
    <row r="5" spans="1:8" ht="15.75" x14ac:dyDescent="0.25">
      <c r="A5" s="10" t="s">
        <v>172</v>
      </c>
      <c r="B5" s="9"/>
      <c r="C5" s="9"/>
      <c r="D5" s="9"/>
      <c r="E5" s="9"/>
      <c r="F5" s="9"/>
      <c r="G5" s="9"/>
      <c r="H5" s="9"/>
    </row>
    <row r="6" spans="1:8" x14ac:dyDescent="0.25">
      <c r="A6" s="3" t="s">
        <v>173</v>
      </c>
      <c r="B6" s="3" t="s">
        <v>174</v>
      </c>
      <c r="C6" s="3" t="s">
        <v>175</v>
      </c>
      <c r="D6" s="3" t="s">
        <v>176</v>
      </c>
      <c r="E6" s="3" t="s">
        <v>177</v>
      </c>
      <c r="F6" s="3" t="s">
        <v>73</v>
      </c>
    </row>
    <row r="7" spans="1:8" x14ac:dyDescent="0.25">
      <c r="A7" t="s">
        <v>178</v>
      </c>
      <c r="E7" s="6">
        <f>IF(D7=0,0,(B7-D7)/D7)</f>
        <v>0</v>
      </c>
    </row>
    <row r="8" spans="1:8" x14ac:dyDescent="0.25">
      <c r="A8" t="s">
        <v>179</v>
      </c>
      <c r="E8" s="6">
        <f>IF(D8=0,0,(B8-D8)/D8)</f>
        <v>0</v>
      </c>
    </row>
    <row r="9" spans="1:8" x14ac:dyDescent="0.25">
      <c r="A9" t="s">
        <v>180</v>
      </c>
      <c r="E9" s="6">
        <f>IF(D9=0,0,(B9-D9)/D9)</f>
        <v>0</v>
      </c>
    </row>
    <row r="10" spans="1:8" x14ac:dyDescent="0.25">
      <c r="A10" t="s">
        <v>181</v>
      </c>
      <c r="E10" s="6">
        <f>IF(D10=0,0,(B10-D10)/D10)</f>
        <v>0</v>
      </c>
    </row>
    <row r="11" spans="1:8" x14ac:dyDescent="0.25">
      <c r="A11" t="s">
        <v>182</v>
      </c>
      <c r="E11" s="6">
        <f>IF(D11=0,0,(B11-D11)/D11)</f>
        <v>0</v>
      </c>
    </row>
    <row r="13" spans="1:8" ht="15.75" x14ac:dyDescent="0.25">
      <c r="A13" s="10" t="s">
        <v>183</v>
      </c>
      <c r="B13" s="9"/>
      <c r="C13" s="9"/>
      <c r="D13" s="9"/>
      <c r="E13" s="9"/>
      <c r="F13" s="9"/>
      <c r="G13" s="9"/>
      <c r="H13" s="9"/>
    </row>
    <row r="14" spans="1:8" x14ac:dyDescent="0.25">
      <c r="A14" s="3" t="s">
        <v>173</v>
      </c>
      <c r="B14" s="3" t="s">
        <v>174</v>
      </c>
      <c r="C14" s="3" t="s">
        <v>175</v>
      </c>
      <c r="D14" s="3" t="s">
        <v>176</v>
      </c>
      <c r="E14" s="3" t="s">
        <v>177</v>
      </c>
      <c r="F14" s="3" t="s">
        <v>73</v>
      </c>
    </row>
    <row r="15" spans="1:8" x14ac:dyDescent="0.25">
      <c r="A15" t="s">
        <v>184</v>
      </c>
      <c r="E15" s="6">
        <f>IF(D15=0,0,(B15-D15)/D15)</f>
        <v>0</v>
      </c>
    </row>
    <row r="16" spans="1:8" x14ac:dyDescent="0.25">
      <c r="A16" t="s">
        <v>185</v>
      </c>
      <c r="E16" s="6">
        <f>IF(D16=0,0,(B16-D16)/D16)</f>
        <v>0</v>
      </c>
    </row>
    <row r="17" spans="1:8" x14ac:dyDescent="0.25">
      <c r="A17" t="s">
        <v>186</v>
      </c>
      <c r="E17" s="6">
        <f>IF(D17=0,0,(B17-D17)/D17)</f>
        <v>0</v>
      </c>
    </row>
    <row r="18" spans="1:8" x14ac:dyDescent="0.25">
      <c r="A18" t="s">
        <v>187</v>
      </c>
      <c r="E18" s="6">
        <f>IF(D18=0,0,(B18-D18)/D18)</f>
        <v>0</v>
      </c>
    </row>
    <row r="19" spans="1:8" x14ac:dyDescent="0.25">
      <c r="A19" t="s">
        <v>188</v>
      </c>
      <c r="E19" s="6">
        <f>IF(D19=0,0,(B19-D19)/D19)</f>
        <v>0</v>
      </c>
    </row>
    <row r="21" spans="1:8" ht="15.75" x14ac:dyDescent="0.25">
      <c r="A21" s="10" t="s">
        <v>189</v>
      </c>
      <c r="B21" s="9"/>
      <c r="C21" s="9"/>
      <c r="D21" s="9"/>
      <c r="E21" s="9"/>
      <c r="F21" s="9"/>
      <c r="G21" s="9"/>
      <c r="H21" s="9"/>
    </row>
    <row r="22" spans="1:8" x14ac:dyDescent="0.25">
      <c r="A22" s="3" t="s">
        <v>173</v>
      </c>
      <c r="B22" s="3" t="s">
        <v>174</v>
      </c>
      <c r="C22" s="3" t="s">
        <v>175</v>
      </c>
      <c r="D22" s="3" t="s">
        <v>176</v>
      </c>
      <c r="E22" s="3" t="s">
        <v>177</v>
      </c>
      <c r="F22" s="3" t="s">
        <v>73</v>
      </c>
    </row>
    <row r="23" spans="1:8" x14ac:dyDescent="0.25">
      <c r="A23" t="s">
        <v>190</v>
      </c>
      <c r="E23" s="6">
        <f>IF(D23=0,0,(B23-D23)/D23)</f>
        <v>0</v>
      </c>
    </row>
    <row r="24" spans="1:8" x14ac:dyDescent="0.25">
      <c r="A24" t="s">
        <v>191</v>
      </c>
      <c r="E24" s="6">
        <f>IF(D24=0,0,(B24-D24)/D24)</f>
        <v>0</v>
      </c>
    </row>
    <row r="25" spans="1:8" x14ac:dyDescent="0.25">
      <c r="A25" t="s">
        <v>192</v>
      </c>
      <c r="E25" s="6">
        <f>IF(D25=0,0,(B25-D25)/D25)</f>
        <v>0</v>
      </c>
    </row>
    <row r="26" spans="1:8" x14ac:dyDescent="0.25">
      <c r="A26" t="s">
        <v>193</v>
      </c>
      <c r="E26" s="6">
        <f>IF(D26=0,0,(B26-D26)/D26)</f>
        <v>0</v>
      </c>
    </row>
    <row r="27" spans="1:8" x14ac:dyDescent="0.25">
      <c r="A27" t="s">
        <v>194</v>
      </c>
      <c r="E27" s="6">
        <f>IF(D27=0,0,(B27-D27)/D27)</f>
        <v>0</v>
      </c>
    </row>
    <row r="29" spans="1:8" ht="15.75" x14ac:dyDescent="0.25">
      <c r="A29" s="10" t="s">
        <v>195</v>
      </c>
      <c r="B29" s="9"/>
      <c r="C29" s="9"/>
      <c r="D29" s="9"/>
      <c r="E29" s="9"/>
      <c r="F29" s="9"/>
      <c r="G29" s="9"/>
      <c r="H29" s="9"/>
    </row>
    <row r="30" spans="1:8" x14ac:dyDescent="0.25">
      <c r="A30" s="3" t="s">
        <v>173</v>
      </c>
      <c r="B30" s="3" t="s">
        <v>174</v>
      </c>
      <c r="C30" s="3" t="s">
        <v>175</v>
      </c>
      <c r="D30" s="3" t="s">
        <v>176</v>
      </c>
      <c r="E30" s="3" t="s">
        <v>177</v>
      </c>
      <c r="F30" s="3" t="s">
        <v>73</v>
      </c>
    </row>
    <row r="31" spans="1:8" x14ac:dyDescent="0.25">
      <c r="A31" t="s">
        <v>196</v>
      </c>
      <c r="E31" s="6">
        <f>IF(D31=0,0,(B31-D31)/D31)</f>
        <v>0</v>
      </c>
    </row>
    <row r="32" spans="1:8" x14ac:dyDescent="0.25">
      <c r="A32" t="s">
        <v>197</v>
      </c>
      <c r="E32" s="6">
        <f>IF(D32=0,0,(B32-D32)/D32)</f>
        <v>0</v>
      </c>
    </row>
    <row r="33" spans="1:8" x14ac:dyDescent="0.25">
      <c r="A33" t="s">
        <v>198</v>
      </c>
      <c r="E33" s="6">
        <f>IF(D33=0,0,(B33-D33)/D33)</f>
        <v>0</v>
      </c>
    </row>
    <row r="34" spans="1:8" x14ac:dyDescent="0.25">
      <c r="A34" t="s">
        <v>199</v>
      </c>
      <c r="E34" s="6">
        <f>IF(D34=0,0,(B34-D34)/D34)</f>
        <v>0</v>
      </c>
    </row>
    <row r="35" spans="1:8" x14ac:dyDescent="0.25">
      <c r="A35" t="s">
        <v>200</v>
      </c>
      <c r="E35" s="6">
        <f>IF(D35=0,0,(B35-D35)/D35)</f>
        <v>0</v>
      </c>
    </row>
    <row r="37" spans="1:8" x14ac:dyDescent="0.25">
      <c r="A37" s="11" t="s">
        <v>162</v>
      </c>
      <c r="B37" s="9"/>
      <c r="C37" s="9"/>
      <c r="D37" s="9"/>
      <c r="E37" s="9"/>
      <c r="F37" s="9"/>
      <c r="G37" s="9"/>
      <c r="H37" s="9"/>
    </row>
    <row r="38" spans="1:8" x14ac:dyDescent="0.25">
      <c r="A38" s="5" t="s">
        <v>201</v>
      </c>
    </row>
    <row r="39" spans="1:8" x14ac:dyDescent="0.25">
      <c r="A39" s="5" t="s">
        <v>202</v>
      </c>
    </row>
    <row r="40" spans="1:8" x14ac:dyDescent="0.25">
      <c r="A40" s="5" t="s">
        <v>203</v>
      </c>
    </row>
  </sheetData>
  <mergeCells count="6">
    <mergeCell ref="A37:H37"/>
    <mergeCell ref="A1:H1"/>
    <mergeCell ref="A21:H21"/>
    <mergeCell ref="A29:H29"/>
    <mergeCell ref="A13:H13"/>
    <mergeCell ref="A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5"/>
  <sheetViews>
    <sheetView topLeftCell="A9" workbookViewId="0">
      <selection activeCell="I19" sqref="I19"/>
    </sheetView>
  </sheetViews>
  <sheetFormatPr defaultRowHeight="15" x14ac:dyDescent="0.25"/>
  <cols>
    <col min="1" max="1" width="49.85546875" customWidth="1"/>
    <col min="2" max="6" width="20" customWidth="1"/>
  </cols>
  <sheetData>
    <row r="1" spans="1:6" ht="21" x14ac:dyDescent="0.35">
      <c r="A1" s="8" t="s">
        <v>204</v>
      </c>
      <c r="B1" s="9"/>
      <c r="C1" s="9"/>
      <c r="D1" s="9"/>
      <c r="E1" s="9"/>
      <c r="F1" s="9"/>
    </row>
    <row r="3" spans="1:6" x14ac:dyDescent="0.25">
      <c r="A3" s="9" t="s">
        <v>205</v>
      </c>
      <c r="B3" s="9"/>
      <c r="C3" s="9"/>
      <c r="D3" s="9"/>
      <c r="E3" s="9"/>
      <c r="F3" s="9"/>
    </row>
    <row r="5" spans="1:6" ht="15.75" x14ac:dyDescent="0.25">
      <c r="A5" s="10" t="s">
        <v>206</v>
      </c>
      <c r="B5" s="9"/>
      <c r="C5" s="9"/>
      <c r="D5" s="9"/>
      <c r="E5" s="9"/>
      <c r="F5" s="9"/>
    </row>
    <row r="6" spans="1:6" x14ac:dyDescent="0.25">
      <c r="A6" s="3" t="s">
        <v>207</v>
      </c>
      <c r="B6" s="3" t="s">
        <v>208</v>
      </c>
      <c r="C6" s="3" t="s">
        <v>74</v>
      </c>
      <c r="D6" s="3" t="s">
        <v>209</v>
      </c>
      <c r="E6" s="3" t="s">
        <v>210</v>
      </c>
      <c r="F6" s="3" t="s">
        <v>73</v>
      </c>
    </row>
    <row r="7" spans="1:6" x14ac:dyDescent="0.25">
      <c r="A7" t="s">
        <v>211</v>
      </c>
      <c r="B7" t="s">
        <v>26</v>
      </c>
      <c r="F7" t="s">
        <v>212</v>
      </c>
    </row>
    <row r="8" spans="1:6" x14ac:dyDescent="0.25">
      <c r="A8" t="s">
        <v>213</v>
      </c>
      <c r="B8" t="s">
        <v>26</v>
      </c>
      <c r="F8" t="s">
        <v>212</v>
      </c>
    </row>
    <row r="9" spans="1:6" x14ac:dyDescent="0.25">
      <c r="A9" t="s">
        <v>214</v>
      </c>
      <c r="B9" t="s">
        <v>26</v>
      </c>
      <c r="F9" t="s">
        <v>212</v>
      </c>
    </row>
    <row r="10" spans="1:6" x14ac:dyDescent="0.25">
      <c r="A10" t="s">
        <v>215</v>
      </c>
      <c r="B10" t="s">
        <v>26</v>
      </c>
      <c r="F10" t="s">
        <v>212</v>
      </c>
    </row>
    <row r="11" spans="1:6" x14ac:dyDescent="0.25">
      <c r="A11" t="s">
        <v>216</v>
      </c>
      <c r="B11" t="s">
        <v>26</v>
      </c>
      <c r="F11" t="s">
        <v>212</v>
      </c>
    </row>
    <row r="12" spans="1:6" x14ac:dyDescent="0.25">
      <c r="A12" t="s">
        <v>217</v>
      </c>
      <c r="B12" t="s">
        <v>26</v>
      </c>
      <c r="F12" t="s">
        <v>212</v>
      </c>
    </row>
    <row r="13" spans="1:6" x14ac:dyDescent="0.25">
      <c r="A13" t="s">
        <v>218</v>
      </c>
      <c r="B13" t="s">
        <v>26</v>
      </c>
      <c r="F13" t="s">
        <v>212</v>
      </c>
    </row>
    <row r="14" spans="1:6" x14ac:dyDescent="0.25">
      <c r="A14" t="s">
        <v>219</v>
      </c>
      <c r="B14" t="s">
        <v>26</v>
      </c>
      <c r="F14" t="s">
        <v>212</v>
      </c>
    </row>
    <row r="15" spans="1:6" x14ac:dyDescent="0.25">
      <c r="A15" t="s">
        <v>220</v>
      </c>
      <c r="B15" t="s">
        <v>26</v>
      </c>
      <c r="F15" t="s">
        <v>212</v>
      </c>
    </row>
    <row r="17" spans="1:6" ht="15.75" x14ac:dyDescent="0.25">
      <c r="A17" s="10" t="s">
        <v>221</v>
      </c>
      <c r="B17" s="9"/>
      <c r="C17" s="9"/>
      <c r="D17" s="9"/>
      <c r="E17" s="9"/>
      <c r="F17" s="9"/>
    </row>
    <row r="18" spans="1:6" x14ac:dyDescent="0.25">
      <c r="A18" s="3" t="s">
        <v>207</v>
      </c>
      <c r="B18" s="3" t="s">
        <v>208</v>
      </c>
      <c r="C18" s="3" t="s">
        <v>74</v>
      </c>
      <c r="D18" s="3" t="s">
        <v>209</v>
      </c>
      <c r="E18" s="3" t="s">
        <v>210</v>
      </c>
      <c r="F18" s="3" t="s">
        <v>73</v>
      </c>
    </row>
    <row r="19" spans="1:6" x14ac:dyDescent="0.25">
      <c r="A19" t="s">
        <v>222</v>
      </c>
      <c r="B19" t="s">
        <v>26</v>
      </c>
      <c r="F19" t="s">
        <v>212</v>
      </c>
    </row>
    <row r="20" spans="1:6" x14ac:dyDescent="0.25">
      <c r="A20" t="s">
        <v>223</v>
      </c>
      <c r="B20" t="s">
        <v>26</v>
      </c>
      <c r="F20" t="s">
        <v>212</v>
      </c>
    </row>
    <row r="21" spans="1:6" x14ac:dyDescent="0.25">
      <c r="A21" t="s">
        <v>224</v>
      </c>
      <c r="B21" t="s">
        <v>26</v>
      </c>
      <c r="F21" t="s">
        <v>212</v>
      </c>
    </row>
    <row r="22" spans="1:6" x14ac:dyDescent="0.25">
      <c r="A22" t="s">
        <v>225</v>
      </c>
      <c r="B22" t="s">
        <v>26</v>
      </c>
      <c r="F22" t="s">
        <v>212</v>
      </c>
    </row>
    <row r="23" spans="1:6" x14ac:dyDescent="0.25">
      <c r="A23" t="s">
        <v>226</v>
      </c>
      <c r="B23" t="s">
        <v>26</v>
      </c>
      <c r="F23" t="s">
        <v>212</v>
      </c>
    </row>
    <row r="24" spans="1:6" x14ac:dyDescent="0.25">
      <c r="A24" t="s">
        <v>227</v>
      </c>
      <c r="B24" t="s">
        <v>26</v>
      </c>
      <c r="F24" t="s">
        <v>212</v>
      </c>
    </row>
    <row r="26" spans="1:6" ht="15.75" x14ac:dyDescent="0.25">
      <c r="A26" s="10" t="s">
        <v>228</v>
      </c>
      <c r="B26" s="9"/>
      <c r="C26" s="9"/>
      <c r="D26" s="9"/>
      <c r="E26" s="9"/>
      <c r="F26" s="9"/>
    </row>
    <row r="27" spans="1:6" x14ac:dyDescent="0.25">
      <c r="A27" s="3" t="s">
        <v>207</v>
      </c>
      <c r="B27" s="3" t="s">
        <v>208</v>
      </c>
      <c r="C27" s="3" t="s">
        <v>74</v>
      </c>
      <c r="D27" s="3" t="s">
        <v>209</v>
      </c>
      <c r="E27" s="3" t="s">
        <v>210</v>
      </c>
      <c r="F27" s="3" t="s">
        <v>73</v>
      </c>
    </row>
    <row r="28" spans="1:6" x14ac:dyDescent="0.25">
      <c r="A28" t="s">
        <v>229</v>
      </c>
      <c r="B28" t="s">
        <v>26</v>
      </c>
      <c r="F28" t="s">
        <v>212</v>
      </c>
    </row>
    <row r="29" spans="1:6" x14ac:dyDescent="0.25">
      <c r="A29" t="s">
        <v>230</v>
      </c>
      <c r="B29" t="s">
        <v>26</v>
      </c>
      <c r="F29" t="s">
        <v>212</v>
      </c>
    </row>
    <row r="30" spans="1:6" x14ac:dyDescent="0.25">
      <c r="A30" t="s">
        <v>231</v>
      </c>
      <c r="B30" t="s">
        <v>26</v>
      </c>
      <c r="F30" t="s">
        <v>212</v>
      </c>
    </row>
    <row r="31" spans="1:6" x14ac:dyDescent="0.25">
      <c r="A31" t="s">
        <v>232</v>
      </c>
      <c r="B31" t="s">
        <v>26</v>
      </c>
      <c r="F31" t="s">
        <v>212</v>
      </c>
    </row>
    <row r="32" spans="1:6" x14ac:dyDescent="0.25">
      <c r="A32" t="s">
        <v>233</v>
      </c>
      <c r="B32" t="s">
        <v>26</v>
      </c>
      <c r="F32" t="s">
        <v>212</v>
      </c>
    </row>
    <row r="33" spans="1:6" x14ac:dyDescent="0.25">
      <c r="A33" t="s">
        <v>234</v>
      </c>
      <c r="B33" t="s">
        <v>26</v>
      </c>
      <c r="F33" t="s">
        <v>212</v>
      </c>
    </row>
    <row r="35" spans="1:6" ht="15.75" x14ac:dyDescent="0.25">
      <c r="A35" s="10" t="s">
        <v>235</v>
      </c>
      <c r="B35" s="9"/>
      <c r="C35" s="9"/>
      <c r="D35" s="9"/>
      <c r="E35" s="9"/>
      <c r="F35" s="9"/>
    </row>
    <row r="36" spans="1:6" x14ac:dyDescent="0.25">
      <c r="A36" s="3" t="s">
        <v>207</v>
      </c>
      <c r="B36" s="3" t="s">
        <v>208</v>
      </c>
      <c r="C36" s="3" t="s">
        <v>74</v>
      </c>
      <c r="D36" s="3" t="s">
        <v>209</v>
      </c>
      <c r="E36" s="3" t="s">
        <v>210</v>
      </c>
      <c r="F36" s="3" t="s">
        <v>73</v>
      </c>
    </row>
    <row r="37" spans="1:6" x14ac:dyDescent="0.25">
      <c r="A37" t="s">
        <v>236</v>
      </c>
      <c r="B37" t="s">
        <v>26</v>
      </c>
      <c r="F37" t="s">
        <v>212</v>
      </c>
    </row>
    <row r="38" spans="1:6" x14ac:dyDescent="0.25">
      <c r="A38" t="s">
        <v>237</v>
      </c>
      <c r="B38" t="s">
        <v>26</v>
      </c>
      <c r="F38" t="s">
        <v>212</v>
      </c>
    </row>
    <row r="39" spans="1:6" x14ac:dyDescent="0.25">
      <c r="A39" t="s">
        <v>238</v>
      </c>
      <c r="B39" t="s">
        <v>26</v>
      </c>
      <c r="F39" t="s">
        <v>212</v>
      </c>
    </row>
    <row r="40" spans="1:6" x14ac:dyDescent="0.25">
      <c r="A40" t="s">
        <v>239</v>
      </c>
      <c r="B40" t="s">
        <v>26</v>
      </c>
      <c r="F40" t="s">
        <v>212</v>
      </c>
    </row>
    <row r="41" spans="1:6" x14ac:dyDescent="0.25">
      <c r="A41" t="s">
        <v>240</v>
      </c>
      <c r="B41" t="s">
        <v>26</v>
      </c>
      <c r="F41" t="s">
        <v>212</v>
      </c>
    </row>
    <row r="42" spans="1:6" x14ac:dyDescent="0.25">
      <c r="A42" t="s">
        <v>241</v>
      </c>
      <c r="B42" t="s">
        <v>26</v>
      </c>
      <c r="F42" t="s">
        <v>212</v>
      </c>
    </row>
    <row r="44" spans="1:6" ht="15.75" x14ac:dyDescent="0.25">
      <c r="A44" s="10" t="s">
        <v>242</v>
      </c>
      <c r="B44" s="9"/>
      <c r="C44" s="9"/>
      <c r="D44" s="9"/>
      <c r="E44" s="9"/>
      <c r="F44" s="9"/>
    </row>
    <row r="45" spans="1:6" x14ac:dyDescent="0.25">
      <c r="A45" s="3" t="s">
        <v>207</v>
      </c>
      <c r="B45" s="3" t="s">
        <v>208</v>
      </c>
      <c r="C45" s="3" t="s">
        <v>74</v>
      </c>
      <c r="D45" s="3" t="s">
        <v>209</v>
      </c>
      <c r="E45" s="3" t="s">
        <v>210</v>
      </c>
      <c r="F45" s="3" t="s">
        <v>73</v>
      </c>
    </row>
    <row r="46" spans="1:6" x14ac:dyDescent="0.25">
      <c r="A46" t="s">
        <v>243</v>
      </c>
      <c r="B46" t="s">
        <v>26</v>
      </c>
      <c r="F46" t="s">
        <v>212</v>
      </c>
    </row>
    <row r="47" spans="1:6" x14ac:dyDescent="0.25">
      <c r="A47" t="s">
        <v>244</v>
      </c>
      <c r="B47" t="s">
        <v>26</v>
      </c>
      <c r="F47" t="s">
        <v>212</v>
      </c>
    </row>
    <row r="48" spans="1:6" x14ac:dyDescent="0.25">
      <c r="A48" t="s">
        <v>245</v>
      </c>
      <c r="B48" t="s">
        <v>26</v>
      </c>
      <c r="F48" t="s">
        <v>212</v>
      </c>
    </row>
    <row r="49" spans="1:6" x14ac:dyDescent="0.25">
      <c r="A49" t="s">
        <v>246</v>
      </c>
      <c r="B49" t="s">
        <v>26</v>
      </c>
      <c r="F49" t="s">
        <v>212</v>
      </c>
    </row>
    <row r="50" spans="1:6" x14ac:dyDescent="0.25">
      <c r="A50" t="s">
        <v>247</v>
      </c>
      <c r="B50" t="s">
        <v>26</v>
      </c>
      <c r="F50" t="s">
        <v>212</v>
      </c>
    </row>
    <row r="51" spans="1:6" x14ac:dyDescent="0.25">
      <c r="A51" t="s">
        <v>248</v>
      </c>
      <c r="B51" t="s">
        <v>26</v>
      </c>
      <c r="F51" t="s">
        <v>212</v>
      </c>
    </row>
    <row r="53" spans="1:6" ht="15.75" x14ac:dyDescent="0.25">
      <c r="A53" s="10" t="s">
        <v>249</v>
      </c>
      <c r="B53" s="9"/>
      <c r="C53" s="9"/>
      <c r="D53" s="9"/>
      <c r="E53" s="9"/>
      <c r="F53" s="9"/>
    </row>
    <row r="54" spans="1:6" x14ac:dyDescent="0.25">
      <c r="A54" s="3" t="s">
        <v>207</v>
      </c>
      <c r="B54" s="3" t="s">
        <v>208</v>
      </c>
      <c r="C54" s="3" t="s">
        <v>74</v>
      </c>
      <c r="D54" s="3" t="s">
        <v>209</v>
      </c>
      <c r="E54" s="3" t="s">
        <v>210</v>
      </c>
      <c r="F54" s="3" t="s">
        <v>73</v>
      </c>
    </row>
    <row r="55" spans="1:6" x14ac:dyDescent="0.25">
      <c r="A55" t="s">
        <v>250</v>
      </c>
      <c r="B55" t="s">
        <v>26</v>
      </c>
      <c r="F55" t="s">
        <v>212</v>
      </c>
    </row>
    <row r="56" spans="1:6" x14ac:dyDescent="0.25">
      <c r="A56" t="s">
        <v>251</v>
      </c>
      <c r="B56" t="s">
        <v>26</v>
      </c>
      <c r="F56" t="s">
        <v>212</v>
      </c>
    </row>
    <row r="57" spans="1:6" x14ac:dyDescent="0.25">
      <c r="A57" t="s">
        <v>252</v>
      </c>
      <c r="B57" t="s">
        <v>26</v>
      </c>
      <c r="F57" t="s">
        <v>212</v>
      </c>
    </row>
    <row r="58" spans="1:6" x14ac:dyDescent="0.25">
      <c r="A58" t="s">
        <v>253</v>
      </c>
      <c r="B58" t="s">
        <v>26</v>
      </c>
      <c r="F58" t="s">
        <v>212</v>
      </c>
    </row>
    <row r="59" spans="1:6" x14ac:dyDescent="0.25">
      <c r="A59" t="s">
        <v>254</v>
      </c>
      <c r="B59" t="s">
        <v>26</v>
      </c>
      <c r="F59" t="s">
        <v>212</v>
      </c>
    </row>
    <row r="60" spans="1:6" x14ac:dyDescent="0.25">
      <c r="A60" t="s">
        <v>255</v>
      </c>
      <c r="B60" t="s">
        <v>26</v>
      </c>
      <c r="F60" t="s">
        <v>212</v>
      </c>
    </row>
    <row r="62" spans="1:6" ht="15.75" x14ac:dyDescent="0.25">
      <c r="A62" s="10" t="s">
        <v>256</v>
      </c>
      <c r="B62" s="9"/>
      <c r="C62" s="9"/>
      <c r="D62" s="9"/>
      <c r="E62" s="9"/>
      <c r="F62" s="9"/>
    </row>
    <row r="63" spans="1:6" x14ac:dyDescent="0.25">
      <c r="A63" s="3" t="s">
        <v>207</v>
      </c>
      <c r="B63" s="3" t="s">
        <v>208</v>
      </c>
      <c r="C63" s="3" t="s">
        <v>74</v>
      </c>
      <c r="D63" s="3" t="s">
        <v>209</v>
      </c>
      <c r="E63" s="3" t="s">
        <v>210</v>
      </c>
      <c r="F63" s="3" t="s">
        <v>73</v>
      </c>
    </row>
    <row r="64" spans="1:6" x14ac:dyDescent="0.25">
      <c r="A64" t="s">
        <v>257</v>
      </c>
      <c r="B64" t="s">
        <v>26</v>
      </c>
      <c r="F64" t="s">
        <v>212</v>
      </c>
    </row>
    <row r="65" spans="1:6" x14ac:dyDescent="0.25">
      <c r="A65" t="s">
        <v>258</v>
      </c>
      <c r="B65" t="s">
        <v>26</v>
      </c>
      <c r="F65" t="s">
        <v>212</v>
      </c>
    </row>
    <row r="66" spans="1:6" x14ac:dyDescent="0.25">
      <c r="A66" t="s">
        <v>259</v>
      </c>
      <c r="B66" t="s">
        <v>26</v>
      </c>
      <c r="F66" t="s">
        <v>212</v>
      </c>
    </row>
    <row r="67" spans="1:6" x14ac:dyDescent="0.25">
      <c r="A67" t="s">
        <v>260</v>
      </c>
      <c r="B67" t="s">
        <v>26</v>
      </c>
      <c r="F67" t="s">
        <v>212</v>
      </c>
    </row>
    <row r="68" spans="1:6" x14ac:dyDescent="0.25">
      <c r="A68" t="s">
        <v>261</v>
      </c>
      <c r="B68" t="s">
        <v>26</v>
      </c>
      <c r="F68" t="s">
        <v>212</v>
      </c>
    </row>
    <row r="69" spans="1:6" x14ac:dyDescent="0.25">
      <c r="A69" t="s">
        <v>262</v>
      </c>
      <c r="B69" t="s">
        <v>26</v>
      </c>
      <c r="F69" t="s">
        <v>212</v>
      </c>
    </row>
    <row r="71" spans="1:6" ht="15.75" x14ac:dyDescent="0.25">
      <c r="A71" s="10" t="s">
        <v>263</v>
      </c>
      <c r="B71" s="9"/>
      <c r="C71" s="9"/>
      <c r="D71" s="9"/>
      <c r="E71" s="9"/>
      <c r="F71" s="9"/>
    </row>
    <row r="72" spans="1:6" x14ac:dyDescent="0.25">
      <c r="A72" s="3" t="s">
        <v>207</v>
      </c>
      <c r="B72" s="3" t="s">
        <v>208</v>
      </c>
      <c r="C72" s="3" t="s">
        <v>74</v>
      </c>
      <c r="D72" s="3" t="s">
        <v>209</v>
      </c>
      <c r="E72" s="3" t="s">
        <v>210</v>
      </c>
      <c r="F72" s="3" t="s">
        <v>73</v>
      </c>
    </row>
    <row r="73" spans="1:6" x14ac:dyDescent="0.25">
      <c r="A73" t="s">
        <v>264</v>
      </c>
      <c r="B73" t="s">
        <v>26</v>
      </c>
      <c r="F73" t="s">
        <v>212</v>
      </c>
    </row>
    <row r="74" spans="1:6" x14ac:dyDescent="0.25">
      <c r="A74" t="s">
        <v>265</v>
      </c>
      <c r="B74" t="s">
        <v>26</v>
      </c>
      <c r="F74" t="s">
        <v>212</v>
      </c>
    </row>
    <row r="75" spans="1:6" x14ac:dyDescent="0.25">
      <c r="A75" t="s">
        <v>266</v>
      </c>
      <c r="B75" t="s">
        <v>26</v>
      </c>
      <c r="F75" t="s">
        <v>212</v>
      </c>
    </row>
    <row r="76" spans="1:6" x14ac:dyDescent="0.25">
      <c r="A76" t="s">
        <v>267</v>
      </c>
      <c r="B76" t="s">
        <v>26</v>
      </c>
      <c r="F76" t="s">
        <v>212</v>
      </c>
    </row>
    <row r="77" spans="1:6" x14ac:dyDescent="0.25">
      <c r="A77" t="s">
        <v>268</v>
      </c>
      <c r="B77" t="s">
        <v>26</v>
      </c>
      <c r="F77" t="s">
        <v>212</v>
      </c>
    </row>
    <row r="78" spans="1:6" x14ac:dyDescent="0.25">
      <c r="A78" t="s">
        <v>269</v>
      </c>
      <c r="B78" t="s">
        <v>26</v>
      </c>
      <c r="F78" t="s">
        <v>212</v>
      </c>
    </row>
    <row r="80" spans="1:6" ht="15.75" x14ac:dyDescent="0.25">
      <c r="A80" s="10" t="s">
        <v>270</v>
      </c>
      <c r="B80" s="9"/>
      <c r="C80" s="9"/>
      <c r="D80" s="9"/>
      <c r="E80" s="9"/>
      <c r="F80" s="9"/>
    </row>
    <row r="81" spans="1:6" x14ac:dyDescent="0.25">
      <c r="A81" s="3" t="s">
        <v>207</v>
      </c>
      <c r="B81" s="3" t="s">
        <v>208</v>
      </c>
      <c r="C81" s="3" t="s">
        <v>74</v>
      </c>
      <c r="D81" s="3" t="s">
        <v>209</v>
      </c>
      <c r="E81" s="3" t="s">
        <v>210</v>
      </c>
      <c r="F81" s="3" t="s">
        <v>73</v>
      </c>
    </row>
    <row r="82" spans="1:6" x14ac:dyDescent="0.25">
      <c r="A82" t="s">
        <v>271</v>
      </c>
      <c r="B82" t="s">
        <v>26</v>
      </c>
      <c r="F82" t="s">
        <v>212</v>
      </c>
    </row>
    <row r="83" spans="1:6" x14ac:dyDescent="0.25">
      <c r="A83" t="s">
        <v>272</v>
      </c>
      <c r="B83" t="s">
        <v>26</v>
      </c>
      <c r="F83" t="s">
        <v>212</v>
      </c>
    </row>
    <row r="84" spans="1:6" x14ac:dyDescent="0.25">
      <c r="A84" t="s">
        <v>273</v>
      </c>
      <c r="B84" t="s">
        <v>26</v>
      </c>
      <c r="F84" t="s">
        <v>212</v>
      </c>
    </row>
    <row r="85" spans="1:6" x14ac:dyDescent="0.25">
      <c r="A85" t="s">
        <v>274</v>
      </c>
      <c r="B85" t="s">
        <v>26</v>
      </c>
      <c r="F85" t="s">
        <v>212</v>
      </c>
    </row>
    <row r="86" spans="1:6" x14ac:dyDescent="0.25">
      <c r="A86" t="s">
        <v>275</v>
      </c>
      <c r="B86" t="s">
        <v>26</v>
      </c>
      <c r="F86" t="s">
        <v>212</v>
      </c>
    </row>
    <row r="87" spans="1:6" x14ac:dyDescent="0.25">
      <c r="A87" t="s">
        <v>276</v>
      </c>
      <c r="B87" t="s">
        <v>26</v>
      </c>
      <c r="F87" t="s">
        <v>212</v>
      </c>
    </row>
    <row r="89" spans="1:6" ht="15.75" x14ac:dyDescent="0.25">
      <c r="A89" s="10" t="s">
        <v>277</v>
      </c>
      <c r="B89" s="9"/>
      <c r="C89" s="9"/>
      <c r="D89" s="9"/>
      <c r="E89" s="9"/>
      <c r="F89" s="9"/>
    </row>
    <row r="90" spans="1:6" x14ac:dyDescent="0.25">
      <c r="A90" s="3" t="s">
        <v>207</v>
      </c>
      <c r="B90" s="3" t="s">
        <v>208</v>
      </c>
      <c r="C90" s="3" t="s">
        <v>74</v>
      </c>
      <c r="D90" s="3" t="s">
        <v>209</v>
      </c>
      <c r="E90" s="3" t="s">
        <v>210</v>
      </c>
      <c r="F90" s="3" t="s">
        <v>73</v>
      </c>
    </row>
    <row r="91" spans="1:6" x14ac:dyDescent="0.25">
      <c r="A91" t="s">
        <v>278</v>
      </c>
      <c r="B91" t="s">
        <v>26</v>
      </c>
      <c r="F91" t="s">
        <v>212</v>
      </c>
    </row>
    <row r="92" spans="1:6" x14ac:dyDescent="0.25">
      <c r="A92" t="s">
        <v>279</v>
      </c>
      <c r="B92" t="s">
        <v>26</v>
      </c>
      <c r="F92" t="s">
        <v>212</v>
      </c>
    </row>
    <row r="93" spans="1:6" x14ac:dyDescent="0.25">
      <c r="A93" t="s">
        <v>280</v>
      </c>
      <c r="B93" t="s">
        <v>26</v>
      </c>
      <c r="F93" t="s">
        <v>212</v>
      </c>
    </row>
    <row r="94" spans="1:6" x14ac:dyDescent="0.25">
      <c r="A94" t="s">
        <v>281</v>
      </c>
      <c r="B94" t="s">
        <v>26</v>
      </c>
      <c r="F94" t="s">
        <v>212</v>
      </c>
    </row>
    <row r="95" spans="1:6" x14ac:dyDescent="0.25">
      <c r="A95" t="s">
        <v>282</v>
      </c>
      <c r="B95" t="s">
        <v>26</v>
      </c>
      <c r="F95" t="s">
        <v>212</v>
      </c>
    </row>
    <row r="96" spans="1:6" x14ac:dyDescent="0.25">
      <c r="A96" t="s">
        <v>283</v>
      </c>
      <c r="B96" t="s">
        <v>26</v>
      </c>
      <c r="F96" t="s">
        <v>212</v>
      </c>
    </row>
    <row r="98" spans="1:6" ht="15.75" x14ac:dyDescent="0.25">
      <c r="A98" s="10" t="s">
        <v>284</v>
      </c>
      <c r="B98" s="9"/>
      <c r="C98" s="9"/>
      <c r="D98" s="9"/>
      <c r="E98" s="9"/>
      <c r="F98" s="9"/>
    </row>
    <row r="99" spans="1:6" x14ac:dyDescent="0.25">
      <c r="A99" s="3" t="s">
        <v>207</v>
      </c>
      <c r="B99" s="3" t="s">
        <v>208</v>
      </c>
      <c r="C99" s="3" t="s">
        <v>74</v>
      </c>
      <c r="D99" s="3" t="s">
        <v>209</v>
      </c>
      <c r="E99" s="3" t="s">
        <v>210</v>
      </c>
      <c r="F99" s="3" t="s">
        <v>73</v>
      </c>
    </row>
    <row r="100" spans="1:6" x14ac:dyDescent="0.25">
      <c r="A100" t="s">
        <v>285</v>
      </c>
      <c r="B100" t="s">
        <v>26</v>
      </c>
      <c r="F100" t="s">
        <v>212</v>
      </c>
    </row>
    <row r="101" spans="1:6" x14ac:dyDescent="0.25">
      <c r="A101" t="s">
        <v>286</v>
      </c>
      <c r="B101" t="s">
        <v>26</v>
      </c>
      <c r="F101" t="s">
        <v>212</v>
      </c>
    </row>
    <row r="102" spans="1:6" x14ac:dyDescent="0.25">
      <c r="A102" t="s">
        <v>287</v>
      </c>
      <c r="B102" t="s">
        <v>26</v>
      </c>
      <c r="F102" t="s">
        <v>212</v>
      </c>
    </row>
    <row r="103" spans="1:6" x14ac:dyDescent="0.25">
      <c r="A103" t="s">
        <v>288</v>
      </c>
      <c r="B103" t="s">
        <v>26</v>
      </c>
      <c r="F103" t="s">
        <v>212</v>
      </c>
    </row>
    <row r="104" spans="1:6" x14ac:dyDescent="0.25">
      <c r="A104" t="s">
        <v>289</v>
      </c>
      <c r="B104" t="s">
        <v>26</v>
      </c>
      <c r="F104" t="s">
        <v>212</v>
      </c>
    </row>
    <row r="105" spans="1:6" x14ac:dyDescent="0.25">
      <c r="A105" t="s">
        <v>290</v>
      </c>
      <c r="B105" t="s">
        <v>26</v>
      </c>
      <c r="F105" t="s">
        <v>212</v>
      </c>
    </row>
  </sheetData>
  <mergeCells count="13">
    <mergeCell ref="A71:F71"/>
    <mergeCell ref="A98:F98"/>
    <mergeCell ref="A44:F44"/>
    <mergeCell ref="A1:F1"/>
    <mergeCell ref="A5:F5"/>
    <mergeCell ref="A80:F80"/>
    <mergeCell ref="A89:F89"/>
    <mergeCell ref="A26:F26"/>
    <mergeCell ref="A17:F17"/>
    <mergeCell ref="A35:F35"/>
    <mergeCell ref="A62:F62"/>
    <mergeCell ref="A3:F3"/>
    <mergeCell ref="A53:F53"/>
  </mergeCells>
  <dataValidations count="1">
    <dataValidation type="list" sqref="F6:F107" xr:uid="{00000000-0002-0000-0600-000000000000}">
      <formula1>"Not Started,In Progress,Completed,Blocked"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"/>
  <sheetViews>
    <sheetView workbookViewId="0">
      <selection activeCell="I34" sqref="I34"/>
    </sheetView>
  </sheetViews>
  <sheetFormatPr defaultRowHeight="15" x14ac:dyDescent="0.25"/>
  <cols>
    <col min="1" max="1" width="33" customWidth="1"/>
    <col min="2" max="8" width="16" customWidth="1"/>
  </cols>
  <sheetData>
    <row r="1" spans="1:8" ht="21" x14ac:dyDescent="0.35">
      <c r="A1" s="8" t="s">
        <v>291</v>
      </c>
      <c r="B1" s="9"/>
      <c r="C1" s="9"/>
      <c r="D1" s="9"/>
      <c r="E1" s="9"/>
      <c r="F1" s="9"/>
      <c r="G1" s="9"/>
      <c r="H1" s="9"/>
    </row>
    <row r="3" spans="1:8" x14ac:dyDescent="0.25">
      <c r="A3" s="1" t="s">
        <v>292</v>
      </c>
      <c r="C3" s="1" t="s">
        <v>293</v>
      </c>
      <c r="E3" s="1" t="s">
        <v>294</v>
      </c>
    </row>
    <row r="5" spans="1:8" x14ac:dyDescent="0.25">
      <c r="A5" s="3" t="s">
        <v>295</v>
      </c>
      <c r="B5" s="3" t="s">
        <v>296</v>
      </c>
      <c r="C5" s="3" t="s">
        <v>297</v>
      </c>
      <c r="D5" s="3" t="s">
        <v>298</v>
      </c>
      <c r="E5" s="3" t="s">
        <v>299</v>
      </c>
      <c r="F5" s="3" t="s">
        <v>300</v>
      </c>
      <c r="G5" s="3" t="s">
        <v>301</v>
      </c>
      <c r="H5" s="3" t="s">
        <v>302</v>
      </c>
    </row>
    <row r="6" spans="1:8" x14ac:dyDescent="0.25">
      <c r="A6" s="7" t="s">
        <v>303</v>
      </c>
    </row>
    <row r="7" spans="1:8" x14ac:dyDescent="0.25">
      <c r="A7" s="7" t="s">
        <v>304</v>
      </c>
    </row>
    <row r="8" spans="1:8" x14ac:dyDescent="0.25">
      <c r="A8" s="7" t="s">
        <v>305</v>
      </c>
    </row>
    <row r="9" spans="1:8" x14ac:dyDescent="0.25">
      <c r="A9" s="7" t="s">
        <v>306</v>
      </c>
    </row>
    <row r="10" spans="1:8" x14ac:dyDescent="0.25">
      <c r="A10" s="7" t="s">
        <v>307</v>
      </c>
    </row>
    <row r="11" spans="1:8" x14ac:dyDescent="0.25">
      <c r="A11" s="7" t="s">
        <v>308</v>
      </c>
    </row>
    <row r="13" spans="1:8" ht="15.75" x14ac:dyDescent="0.25">
      <c r="A13" s="10" t="s">
        <v>309</v>
      </c>
      <c r="B13" s="9"/>
      <c r="C13" s="9"/>
      <c r="D13" s="9"/>
      <c r="E13" s="9"/>
      <c r="F13" s="9"/>
      <c r="G13" s="9"/>
      <c r="H13" s="9"/>
    </row>
    <row r="15" spans="1:8" x14ac:dyDescent="0.25">
      <c r="A15" s="2" t="s">
        <v>310</v>
      </c>
    </row>
    <row r="16" spans="1:8" x14ac:dyDescent="0.25">
      <c r="A16" t="s">
        <v>311</v>
      </c>
    </row>
    <row r="17" spans="1:8" x14ac:dyDescent="0.25">
      <c r="A17" t="s">
        <v>312</v>
      </c>
    </row>
    <row r="18" spans="1:8" x14ac:dyDescent="0.25">
      <c r="A18" t="s">
        <v>313</v>
      </c>
    </row>
    <row r="20" spans="1:8" x14ac:dyDescent="0.25">
      <c r="A20" s="2" t="s">
        <v>314</v>
      </c>
    </row>
    <row r="21" spans="1:8" x14ac:dyDescent="0.25">
      <c r="A21" t="s">
        <v>311</v>
      </c>
    </row>
    <row r="22" spans="1:8" x14ac:dyDescent="0.25">
      <c r="A22" t="s">
        <v>312</v>
      </c>
    </row>
    <row r="23" spans="1:8" x14ac:dyDescent="0.25">
      <c r="A23" t="s">
        <v>313</v>
      </c>
    </row>
    <row r="25" spans="1:8" x14ac:dyDescent="0.25">
      <c r="A25" s="2" t="s">
        <v>315</v>
      </c>
    </row>
    <row r="26" spans="1:8" x14ac:dyDescent="0.25">
      <c r="A26" t="s">
        <v>311</v>
      </c>
    </row>
    <row r="27" spans="1:8" x14ac:dyDescent="0.25">
      <c r="A27" t="s">
        <v>312</v>
      </c>
    </row>
    <row r="28" spans="1:8" x14ac:dyDescent="0.25">
      <c r="A28" t="s">
        <v>313</v>
      </c>
    </row>
    <row r="30" spans="1:8" ht="15.75" x14ac:dyDescent="0.25">
      <c r="A30" s="10" t="s">
        <v>316</v>
      </c>
      <c r="B30" s="9"/>
      <c r="C30" s="9"/>
      <c r="D30" s="9"/>
      <c r="E30" s="9"/>
      <c r="F30" s="9"/>
      <c r="G30" s="9"/>
      <c r="H30" s="9"/>
    </row>
    <row r="32" spans="1:8" x14ac:dyDescent="0.25">
      <c r="A32" s="2" t="s">
        <v>317</v>
      </c>
    </row>
    <row r="33" spans="1:1" x14ac:dyDescent="0.25">
      <c r="A33" s="2" t="s">
        <v>318</v>
      </c>
    </row>
    <row r="34" spans="1:1" x14ac:dyDescent="0.25">
      <c r="A34" s="2" t="s">
        <v>319</v>
      </c>
    </row>
  </sheetData>
  <mergeCells count="3">
    <mergeCell ref="A13:H13"/>
    <mergeCell ref="A30:H30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5"/>
  <sheetViews>
    <sheetView topLeftCell="A39" workbookViewId="0">
      <selection activeCell="K36" sqref="K36"/>
    </sheetView>
  </sheetViews>
  <sheetFormatPr defaultRowHeight="15" x14ac:dyDescent="0.25"/>
  <cols>
    <col min="1" max="1" width="27.42578125" customWidth="1"/>
    <col min="2" max="2" width="47.7109375" customWidth="1"/>
    <col min="3" max="3" width="20.7109375" customWidth="1"/>
    <col min="4" max="4" width="19.7109375" customWidth="1"/>
    <col min="5" max="9" width="15" customWidth="1"/>
  </cols>
  <sheetData>
    <row r="1" spans="1:9" ht="21" x14ac:dyDescent="0.35">
      <c r="A1" s="8" t="s">
        <v>320</v>
      </c>
      <c r="B1" s="9"/>
      <c r="C1" s="9"/>
      <c r="D1" s="9"/>
      <c r="E1" s="9"/>
      <c r="F1" s="9"/>
      <c r="G1" s="9"/>
      <c r="H1" s="9"/>
      <c r="I1" s="9"/>
    </row>
    <row r="3" spans="1:9" x14ac:dyDescent="0.25">
      <c r="A3" s="1" t="s">
        <v>321</v>
      </c>
      <c r="C3" s="1" t="s">
        <v>322</v>
      </c>
      <c r="E3" s="1" t="s">
        <v>323</v>
      </c>
      <c r="G3" s="1" t="s">
        <v>324</v>
      </c>
    </row>
    <row r="5" spans="1:9" ht="15.75" x14ac:dyDescent="0.25">
      <c r="A5" s="10" t="s">
        <v>325</v>
      </c>
      <c r="B5" s="9"/>
      <c r="C5" s="9"/>
      <c r="D5" s="9"/>
      <c r="E5" s="9"/>
      <c r="F5" s="9"/>
      <c r="G5" s="9"/>
      <c r="H5" s="9"/>
      <c r="I5" s="9"/>
    </row>
    <row r="7" spans="1:9" x14ac:dyDescent="0.25">
      <c r="A7" s="2" t="s">
        <v>326</v>
      </c>
    </row>
    <row r="8" spans="1:9" x14ac:dyDescent="0.25">
      <c r="A8" t="s">
        <v>311</v>
      </c>
    </row>
    <row r="9" spans="1:9" x14ac:dyDescent="0.25">
      <c r="A9" t="s">
        <v>312</v>
      </c>
    </row>
    <row r="10" spans="1:9" x14ac:dyDescent="0.25">
      <c r="A10" t="s">
        <v>313</v>
      </c>
    </row>
    <row r="12" spans="1:9" x14ac:dyDescent="0.25">
      <c r="A12" s="2" t="s">
        <v>327</v>
      </c>
    </row>
    <row r="13" spans="1:9" x14ac:dyDescent="0.25">
      <c r="A13" t="s">
        <v>311</v>
      </c>
    </row>
    <row r="14" spans="1:9" x14ac:dyDescent="0.25">
      <c r="A14" t="s">
        <v>312</v>
      </c>
    </row>
    <row r="16" spans="1:9" ht="15.75" x14ac:dyDescent="0.25">
      <c r="A16" s="10" t="s">
        <v>328</v>
      </c>
      <c r="B16" s="9"/>
      <c r="C16" s="9"/>
      <c r="D16" s="9"/>
      <c r="E16" s="9"/>
      <c r="F16" s="9"/>
      <c r="G16" s="9"/>
      <c r="H16" s="9"/>
      <c r="I16" s="9"/>
    </row>
    <row r="17" spans="1:9" x14ac:dyDescent="0.25">
      <c r="A17" s="3" t="s">
        <v>329</v>
      </c>
      <c r="B17" s="3" t="s">
        <v>330</v>
      </c>
      <c r="C17" s="3" t="s">
        <v>331</v>
      </c>
      <c r="D17" s="3" t="s">
        <v>332</v>
      </c>
      <c r="E17" s="3" t="s">
        <v>333</v>
      </c>
      <c r="F17" s="3" t="s">
        <v>334</v>
      </c>
      <c r="G17" s="3" t="s">
        <v>73</v>
      </c>
      <c r="H17" s="3" t="s">
        <v>74</v>
      </c>
    </row>
    <row r="18" spans="1:9" x14ac:dyDescent="0.25">
      <c r="A18" t="s">
        <v>335</v>
      </c>
      <c r="B18" t="s">
        <v>336</v>
      </c>
      <c r="E18" t="s">
        <v>337</v>
      </c>
      <c r="G18" t="s">
        <v>338</v>
      </c>
    </row>
    <row r="19" spans="1:9" x14ac:dyDescent="0.25">
      <c r="A19" t="s">
        <v>339</v>
      </c>
      <c r="B19" t="s">
        <v>336</v>
      </c>
      <c r="E19" t="s">
        <v>337</v>
      </c>
      <c r="G19" t="s">
        <v>338</v>
      </c>
    </row>
    <row r="20" spans="1:9" x14ac:dyDescent="0.25">
      <c r="A20" t="s">
        <v>340</v>
      </c>
      <c r="B20" t="s">
        <v>336</v>
      </c>
      <c r="E20" t="s">
        <v>337</v>
      </c>
      <c r="G20" t="s">
        <v>338</v>
      </c>
    </row>
    <row r="21" spans="1:9" x14ac:dyDescent="0.25">
      <c r="A21" t="s">
        <v>341</v>
      </c>
      <c r="B21" t="s">
        <v>336</v>
      </c>
      <c r="E21" t="s">
        <v>337</v>
      </c>
      <c r="G21" t="s">
        <v>338</v>
      </c>
    </row>
    <row r="22" spans="1:9" x14ac:dyDescent="0.25">
      <c r="A22" t="s">
        <v>342</v>
      </c>
      <c r="B22" t="s">
        <v>336</v>
      </c>
      <c r="E22" t="s">
        <v>337</v>
      </c>
      <c r="G22" t="s">
        <v>338</v>
      </c>
    </row>
    <row r="23" spans="1:9" x14ac:dyDescent="0.25">
      <c r="A23" t="s">
        <v>343</v>
      </c>
      <c r="B23" t="s">
        <v>336</v>
      </c>
      <c r="E23" t="s">
        <v>337</v>
      </c>
      <c r="G23" t="s">
        <v>338</v>
      </c>
    </row>
    <row r="24" spans="1:9" x14ac:dyDescent="0.25">
      <c r="A24" t="s">
        <v>344</v>
      </c>
      <c r="B24" t="s">
        <v>336</v>
      </c>
      <c r="E24" t="s">
        <v>337</v>
      </c>
      <c r="G24" t="s">
        <v>338</v>
      </c>
    </row>
    <row r="25" spans="1:9" x14ac:dyDescent="0.25">
      <c r="A25" t="s">
        <v>345</v>
      </c>
      <c r="B25" t="s">
        <v>336</v>
      </c>
      <c r="E25" t="s">
        <v>337</v>
      </c>
      <c r="G25" t="s">
        <v>338</v>
      </c>
    </row>
    <row r="26" spans="1:9" x14ac:dyDescent="0.25">
      <c r="A26" t="s">
        <v>346</v>
      </c>
      <c r="B26" t="s">
        <v>336</v>
      </c>
      <c r="E26" t="s">
        <v>337</v>
      </c>
      <c r="G26" t="s">
        <v>338</v>
      </c>
    </row>
    <row r="27" spans="1:9" x14ac:dyDescent="0.25">
      <c r="A27" t="s">
        <v>347</v>
      </c>
      <c r="B27" t="s">
        <v>336</v>
      </c>
      <c r="E27" t="s">
        <v>337</v>
      </c>
      <c r="G27" t="s">
        <v>338</v>
      </c>
    </row>
    <row r="29" spans="1:9" ht="15.75" x14ac:dyDescent="0.25">
      <c r="A29" s="10" t="s">
        <v>348</v>
      </c>
      <c r="B29" s="9"/>
      <c r="C29" s="9"/>
      <c r="D29" s="9"/>
      <c r="E29" s="9"/>
      <c r="F29" s="9"/>
      <c r="G29" s="9"/>
      <c r="H29" s="9"/>
      <c r="I29" s="9"/>
    </row>
    <row r="30" spans="1:9" x14ac:dyDescent="0.25">
      <c r="A30" s="3" t="s">
        <v>349</v>
      </c>
      <c r="B30" s="3" t="s">
        <v>350</v>
      </c>
      <c r="C30" s="3" t="s">
        <v>351</v>
      </c>
      <c r="D30" s="3" t="s">
        <v>352</v>
      </c>
      <c r="E30" s="3" t="s">
        <v>334</v>
      </c>
      <c r="F30" s="3" t="s">
        <v>73</v>
      </c>
      <c r="G30" s="3" t="s">
        <v>353</v>
      </c>
      <c r="H30" s="3" t="s">
        <v>74</v>
      </c>
    </row>
    <row r="31" spans="1:9" x14ac:dyDescent="0.25">
      <c r="A31" t="s">
        <v>354</v>
      </c>
      <c r="C31" t="s">
        <v>335</v>
      </c>
      <c r="F31" t="s">
        <v>338</v>
      </c>
    </row>
    <row r="32" spans="1:9" x14ac:dyDescent="0.25">
      <c r="A32" t="s">
        <v>355</v>
      </c>
      <c r="C32" t="s">
        <v>339</v>
      </c>
      <c r="F32" t="s">
        <v>338</v>
      </c>
    </row>
    <row r="33" spans="1:9" x14ac:dyDescent="0.25">
      <c r="A33" t="s">
        <v>356</v>
      </c>
      <c r="C33" t="s">
        <v>340</v>
      </c>
      <c r="F33" t="s">
        <v>338</v>
      </c>
    </row>
    <row r="34" spans="1:9" x14ac:dyDescent="0.25">
      <c r="A34" t="s">
        <v>357</v>
      </c>
      <c r="C34" t="s">
        <v>341</v>
      </c>
      <c r="F34" t="s">
        <v>338</v>
      </c>
    </row>
    <row r="35" spans="1:9" x14ac:dyDescent="0.25">
      <c r="A35" t="s">
        <v>358</v>
      </c>
      <c r="C35" t="s">
        <v>342</v>
      </c>
      <c r="F35" t="s">
        <v>338</v>
      </c>
    </row>
    <row r="36" spans="1:9" x14ac:dyDescent="0.25">
      <c r="A36" t="s">
        <v>359</v>
      </c>
      <c r="C36" t="s">
        <v>343</v>
      </c>
      <c r="F36" t="s">
        <v>338</v>
      </c>
    </row>
    <row r="37" spans="1:9" x14ac:dyDescent="0.25">
      <c r="A37" t="s">
        <v>360</v>
      </c>
      <c r="C37" t="s">
        <v>344</v>
      </c>
      <c r="F37" t="s">
        <v>338</v>
      </c>
    </row>
    <row r="38" spans="1:9" x14ac:dyDescent="0.25">
      <c r="A38" t="s">
        <v>361</v>
      </c>
      <c r="C38" t="s">
        <v>345</v>
      </c>
      <c r="F38" t="s">
        <v>338</v>
      </c>
    </row>
    <row r="39" spans="1:9" x14ac:dyDescent="0.25">
      <c r="A39" t="s">
        <v>362</v>
      </c>
      <c r="C39" t="s">
        <v>346</v>
      </c>
      <c r="F39" t="s">
        <v>338</v>
      </c>
    </row>
    <row r="40" spans="1:9" x14ac:dyDescent="0.25">
      <c r="A40" t="s">
        <v>363</v>
      </c>
      <c r="C40" t="s">
        <v>347</v>
      </c>
      <c r="F40" t="s">
        <v>338</v>
      </c>
    </row>
    <row r="42" spans="1:9" ht="15.75" x14ac:dyDescent="0.25">
      <c r="A42" s="10" t="s">
        <v>364</v>
      </c>
      <c r="B42" s="9"/>
      <c r="C42" s="9"/>
      <c r="D42" s="9"/>
      <c r="E42" s="9"/>
      <c r="F42" s="9"/>
      <c r="G42" s="9"/>
      <c r="H42" s="9"/>
      <c r="I42" s="9"/>
    </row>
    <row r="44" spans="1:9" x14ac:dyDescent="0.25">
      <c r="A44" s="2" t="s">
        <v>365</v>
      </c>
    </row>
    <row r="45" spans="1:9" x14ac:dyDescent="0.25">
      <c r="A45" t="s">
        <v>311</v>
      </c>
    </row>
    <row r="46" spans="1:9" x14ac:dyDescent="0.25">
      <c r="A46" t="s">
        <v>312</v>
      </c>
    </row>
    <row r="47" spans="1:9" x14ac:dyDescent="0.25">
      <c r="A47" t="s">
        <v>313</v>
      </c>
    </row>
    <row r="48" spans="1:9" x14ac:dyDescent="0.25">
      <c r="A48" s="2" t="s">
        <v>366</v>
      </c>
    </row>
    <row r="49" spans="1:1" x14ac:dyDescent="0.25">
      <c r="A49" t="s">
        <v>311</v>
      </c>
    </row>
    <row r="50" spans="1:1" x14ac:dyDescent="0.25">
      <c r="A50" t="s">
        <v>312</v>
      </c>
    </row>
    <row r="51" spans="1:1" x14ac:dyDescent="0.25">
      <c r="A51" t="s">
        <v>313</v>
      </c>
    </row>
    <row r="52" spans="1:1" x14ac:dyDescent="0.25">
      <c r="A52" s="2" t="s">
        <v>367</v>
      </c>
    </row>
    <row r="53" spans="1:1" x14ac:dyDescent="0.25">
      <c r="A53" t="s">
        <v>311</v>
      </c>
    </row>
    <row r="54" spans="1:1" x14ac:dyDescent="0.25">
      <c r="A54" t="s">
        <v>312</v>
      </c>
    </row>
    <row r="55" spans="1:1" x14ac:dyDescent="0.25">
      <c r="A55" t="s">
        <v>313</v>
      </c>
    </row>
  </sheetData>
  <mergeCells count="5">
    <mergeCell ref="A29:I29"/>
    <mergeCell ref="A5:I5"/>
    <mergeCell ref="A42:I42"/>
    <mergeCell ref="A1:I1"/>
    <mergeCell ref="A16:I16"/>
  </mergeCells>
  <dataValidations count="2">
    <dataValidation type="list" sqref="E18:E27" xr:uid="{00000000-0002-0000-0800-000000000000}">
      <formula1>"High,Medium,Low"</formula1>
    </dataValidation>
    <dataValidation type="list" sqref="F31:F40 G18:G27" xr:uid="{00000000-0002-0000-0800-000001000000}">
      <formula1>"To Do,In Progress,Done,Blocked"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8"/>
  <sheetViews>
    <sheetView topLeftCell="A57" workbookViewId="0">
      <selection activeCell="L17" sqref="L17"/>
    </sheetView>
  </sheetViews>
  <sheetFormatPr defaultRowHeight="15" x14ac:dyDescent="0.25"/>
  <cols>
    <col min="1" max="1" width="44.85546875" customWidth="1"/>
    <col min="2" max="6" width="20" customWidth="1"/>
  </cols>
  <sheetData>
    <row r="1" spans="1:6" ht="21" x14ac:dyDescent="0.35">
      <c r="A1" s="8" t="s">
        <v>368</v>
      </c>
      <c r="B1" s="9"/>
      <c r="C1" s="9"/>
      <c r="D1" s="9"/>
      <c r="E1" s="9"/>
      <c r="F1" s="9"/>
    </row>
    <row r="3" spans="1:6" x14ac:dyDescent="0.25">
      <c r="A3" s="9" t="s">
        <v>369</v>
      </c>
      <c r="B3" s="9"/>
      <c r="C3" s="9"/>
      <c r="D3" s="9"/>
      <c r="E3" s="9"/>
      <c r="F3" s="9"/>
    </row>
    <row r="5" spans="1:6" ht="15.75" x14ac:dyDescent="0.25">
      <c r="A5" s="10" t="s">
        <v>370</v>
      </c>
      <c r="B5" s="9"/>
      <c r="C5" s="9"/>
      <c r="D5" s="9"/>
      <c r="E5" s="9"/>
      <c r="F5" s="9"/>
    </row>
    <row r="6" spans="1:6" x14ac:dyDescent="0.25">
      <c r="A6" s="3" t="s">
        <v>207</v>
      </c>
      <c r="B6" s="3" t="s">
        <v>208</v>
      </c>
      <c r="C6" s="3" t="s">
        <v>209</v>
      </c>
      <c r="D6" s="3" t="s">
        <v>210</v>
      </c>
      <c r="E6" s="3" t="s">
        <v>73</v>
      </c>
      <c r="F6" s="3" t="s">
        <v>74</v>
      </c>
    </row>
    <row r="7" spans="1:6" x14ac:dyDescent="0.25">
      <c r="A7" t="s">
        <v>371</v>
      </c>
      <c r="B7" t="s">
        <v>26</v>
      </c>
      <c r="E7" t="s">
        <v>212</v>
      </c>
    </row>
    <row r="8" spans="1:6" x14ac:dyDescent="0.25">
      <c r="A8" t="s">
        <v>372</v>
      </c>
      <c r="B8" t="s">
        <v>26</v>
      </c>
      <c r="E8" t="s">
        <v>212</v>
      </c>
    </row>
    <row r="9" spans="1:6" x14ac:dyDescent="0.25">
      <c r="A9" t="s">
        <v>373</v>
      </c>
      <c r="B9" t="s">
        <v>26</v>
      </c>
      <c r="E9" t="s">
        <v>212</v>
      </c>
    </row>
    <row r="10" spans="1:6" x14ac:dyDescent="0.25">
      <c r="A10" t="s">
        <v>374</v>
      </c>
      <c r="B10" t="s">
        <v>26</v>
      </c>
      <c r="E10" t="s">
        <v>212</v>
      </c>
    </row>
    <row r="11" spans="1:6" x14ac:dyDescent="0.25">
      <c r="A11" t="s">
        <v>375</v>
      </c>
      <c r="B11" t="s">
        <v>26</v>
      </c>
      <c r="E11" t="s">
        <v>212</v>
      </c>
    </row>
    <row r="12" spans="1:6" x14ac:dyDescent="0.25">
      <c r="A12" t="s">
        <v>376</v>
      </c>
      <c r="B12" t="s">
        <v>26</v>
      </c>
      <c r="E12" t="s">
        <v>212</v>
      </c>
    </row>
    <row r="13" spans="1:6" x14ac:dyDescent="0.25">
      <c r="A13" t="s">
        <v>377</v>
      </c>
      <c r="B13" t="s">
        <v>26</v>
      </c>
      <c r="E13" t="s">
        <v>212</v>
      </c>
    </row>
    <row r="14" spans="1:6" x14ac:dyDescent="0.25">
      <c r="A14" t="s">
        <v>378</v>
      </c>
      <c r="B14" t="s">
        <v>26</v>
      </c>
      <c r="E14" t="s">
        <v>212</v>
      </c>
    </row>
    <row r="15" spans="1:6" x14ac:dyDescent="0.25">
      <c r="A15" t="s">
        <v>379</v>
      </c>
      <c r="B15" t="s">
        <v>26</v>
      </c>
      <c r="E15" t="s">
        <v>212</v>
      </c>
    </row>
    <row r="16" spans="1:6" x14ac:dyDescent="0.25">
      <c r="A16" t="s">
        <v>380</v>
      </c>
      <c r="B16" t="s">
        <v>26</v>
      </c>
      <c r="E16" t="s">
        <v>212</v>
      </c>
    </row>
    <row r="17" spans="1:6" x14ac:dyDescent="0.25">
      <c r="A17" t="s">
        <v>381</v>
      </c>
      <c r="B17" t="s">
        <v>26</v>
      </c>
      <c r="E17" t="s">
        <v>212</v>
      </c>
    </row>
    <row r="18" spans="1:6" x14ac:dyDescent="0.25">
      <c r="A18" t="s">
        <v>382</v>
      </c>
      <c r="B18" t="s">
        <v>26</v>
      </c>
      <c r="E18" t="s">
        <v>212</v>
      </c>
    </row>
    <row r="19" spans="1:6" x14ac:dyDescent="0.25">
      <c r="A19" t="s">
        <v>383</v>
      </c>
      <c r="B19" t="s">
        <v>26</v>
      </c>
      <c r="E19" t="s">
        <v>212</v>
      </c>
    </row>
    <row r="20" spans="1:6" x14ac:dyDescent="0.25">
      <c r="A20" t="s">
        <v>384</v>
      </c>
      <c r="B20" t="s">
        <v>26</v>
      </c>
      <c r="E20" t="s">
        <v>212</v>
      </c>
    </row>
    <row r="22" spans="1:6" ht="15.75" x14ac:dyDescent="0.25">
      <c r="A22" s="10" t="s">
        <v>385</v>
      </c>
      <c r="B22" s="9"/>
      <c r="C22" s="9"/>
      <c r="D22" s="9"/>
      <c r="E22" s="9"/>
      <c r="F22" s="9"/>
    </row>
    <row r="23" spans="1:6" x14ac:dyDescent="0.25">
      <c r="A23" s="3" t="s">
        <v>207</v>
      </c>
      <c r="B23" s="3" t="s">
        <v>208</v>
      </c>
      <c r="C23" s="3" t="s">
        <v>209</v>
      </c>
      <c r="D23" s="3" t="s">
        <v>210</v>
      </c>
      <c r="E23" s="3" t="s">
        <v>73</v>
      </c>
      <c r="F23" s="3" t="s">
        <v>74</v>
      </c>
    </row>
    <row r="24" spans="1:6" x14ac:dyDescent="0.25">
      <c r="A24" t="s">
        <v>386</v>
      </c>
      <c r="B24" t="s">
        <v>26</v>
      </c>
      <c r="E24" t="s">
        <v>212</v>
      </c>
    </row>
    <row r="25" spans="1:6" x14ac:dyDescent="0.25">
      <c r="A25" t="s">
        <v>387</v>
      </c>
      <c r="B25" t="s">
        <v>26</v>
      </c>
      <c r="E25" t="s">
        <v>212</v>
      </c>
    </row>
    <row r="26" spans="1:6" x14ac:dyDescent="0.25">
      <c r="A26" t="s">
        <v>388</v>
      </c>
      <c r="B26" t="s">
        <v>26</v>
      </c>
      <c r="E26" t="s">
        <v>212</v>
      </c>
    </row>
    <row r="27" spans="1:6" x14ac:dyDescent="0.25">
      <c r="A27" t="s">
        <v>389</v>
      </c>
      <c r="B27" t="s">
        <v>26</v>
      </c>
      <c r="E27" t="s">
        <v>212</v>
      </c>
    </row>
    <row r="28" spans="1:6" x14ac:dyDescent="0.25">
      <c r="A28" t="s">
        <v>390</v>
      </c>
      <c r="B28" t="s">
        <v>26</v>
      </c>
      <c r="E28" t="s">
        <v>212</v>
      </c>
    </row>
    <row r="29" spans="1:6" x14ac:dyDescent="0.25">
      <c r="A29" t="s">
        <v>391</v>
      </c>
      <c r="B29" t="s">
        <v>26</v>
      </c>
      <c r="E29" t="s">
        <v>212</v>
      </c>
    </row>
    <row r="30" spans="1:6" x14ac:dyDescent="0.25">
      <c r="A30" t="s">
        <v>392</v>
      </c>
      <c r="B30" t="s">
        <v>26</v>
      </c>
      <c r="E30" t="s">
        <v>212</v>
      </c>
    </row>
    <row r="31" spans="1:6" x14ac:dyDescent="0.25">
      <c r="A31" t="s">
        <v>393</v>
      </c>
      <c r="B31" t="s">
        <v>26</v>
      </c>
      <c r="E31" t="s">
        <v>212</v>
      </c>
    </row>
    <row r="32" spans="1:6" x14ac:dyDescent="0.25">
      <c r="A32" t="s">
        <v>394</v>
      </c>
      <c r="B32" t="s">
        <v>26</v>
      </c>
      <c r="E32" t="s">
        <v>212</v>
      </c>
    </row>
    <row r="33" spans="1:6" x14ac:dyDescent="0.25">
      <c r="A33" t="s">
        <v>395</v>
      </c>
      <c r="B33" t="s">
        <v>26</v>
      </c>
      <c r="E33" t="s">
        <v>212</v>
      </c>
    </row>
    <row r="34" spans="1:6" x14ac:dyDescent="0.25">
      <c r="A34" t="s">
        <v>396</v>
      </c>
      <c r="B34" t="s">
        <v>26</v>
      </c>
      <c r="E34" t="s">
        <v>212</v>
      </c>
    </row>
    <row r="35" spans="1:6" x14ac:dyDescent="0.25">
      <c r="A35" t="s">
        <v>397</v>
      </c>
      <c r="B35" t="s">
        <v>26</v>
      </c>
      <c r="E35" t="s">
        <v>212</v>
      </c>
    </row>
    <row r="36" spans="1:6" x14ac:dyDescent="0.25">
      <c r="A36" t="s">
        <v>398</v>
      </c>
      <c r="B36" t="s">
        <v>26</v>
      </c>
      <c r="E36" t="s">
        <v>212</v>
      </c>
    </row>
    <row r="37" spans="1:6" x14ac:dyDescent="0.25">
      <c r="A37" t="s">
        <v>399</v>
      </c>
      <c r="B37" t="s">
        <v>26</v>
      </c>
      <c r="E37" t="s">
        <v>212</v>
      </c>
    </row>
    <row r="39" spans="1:6" ht="15.75" x14ac:dyDescent="0.25">
      <c r="A39" s="10" t="s">
        <v>400</v>
      </c>
      <c r="B39" s="9"/>
      <c r="C39" s="9"/>
      <c r="D39" s="9"/>
      <c r="E39" s="9"/>
      <c r="F39" s="9"/>
    </row>
    <row r="40" spans="1:6" x14ac:dyDescent="0.25">
      <c r="A40" s="3" t="s">
        <v>207</v>
      </c>
      <c r="B40" s="3" t="s">
        <v>208</v>
      </c>
      <c r="C40" s="3" t="s">
        <v>209</v>
      </c>
      <c r="D40" s="3" t="s">
        <v>210</v>
      </c>
      <c r="E40" s="3" t="s">
        <v>73</v>
      </c>
      <c r="F40" s="3" t="s">
        <v>74</v>
      </c>
    </row>
    <row r="41" spans="1:6" x14ac:dyDescent="0.25">
      <c r="A41" t="s">
        <v>401</v>
      </c>
      <c r="B41" t="s">
        <v>26</v>
      </c>
      <c r="E41" t="s">
        <v>212</v>
      </c>
    </row>
    <row r="42" spans="1:6" x14ac:dyDescent="0.25">
      <c r="A42" t="s">
        <v>402</v>
      </c>
      <c r="B42" t="s">
        <v>26</v>
      </c>
      <c r="E42" t="s">
        <v>212</v>
      </c>
    </row>
    <row r="43" spans="1:6" x14ac:dyDescent="0.25">
      <c r="A43" t="s">
        <v>403</v>
      </c>
      <c r="B43" t="s">
        <v>26</v>
      </c>
      <c r="E43" t="s">
        <v>212</v>
      </c>
    </row>
    <row r="44" spans="1:6" x14ac:dyDescent="0.25">
      <c r="A44" t="s">
        <v>404</v>
      </c>
      <c r="B44" t="s">
        <v>26</v>
      </c>
      <c r="E44" t="s">
        <v>212</v>
      </c>
    </row>
    <row r="45" spans="1:6" x14ac:dyDescent="0.25">
      <c r="A45" t="s">
        <v>405</v>
      </c>
      <c r="B45" t="s">
        <v>26</v>
      </c>
      <c r="E45" t="s">
        <v>212</v>
      </c>
    </row>
    <row r="46" spans="1:6" x14ac:dyDescent="0.25">
      <c r="A46" t="s">
        <v>406</v>
      </c>
      <c r="B46" t="s">
        <v>26</v>
      </c>
      <c r="E46" t="s">
        <v>212</v>
      </c>
    </row>
    <row r="47" spans="1:6" x14ac:dyDescent="0.25">
      <c r="A47" t="s">
        <v>407</v>
      </c>
      <c r="B47" t="s">
        <v>26</v>
      </c>
      <c r="E47" t="s">
        <v>212</v>
      </c>
    </row>
    <row r="48" spans="1:6" x14ac:dyDescent="0.25">
      <c r="A48" t="s">
        <v>408</v>
      </c>
      <c r="B48" t="s">
        <v>26</v>
      </c>
      <c r="E48" t="s">
        <v>212</v>
      </c>
    </row>
    <row r="49" spans="1:6" x14ac:dyDescent="0.25">
      <c r="A49" t="s">
        <v>409</v>
      </c>
      <c r="B49" t="s">
        <v>26</v>
      </c>
      <c r="E49" t="s">
        <v>212</v>
      </c>
    </row>
    <row r="50" spans="1:6" x14ac:dyDescent="0.25">
      <c r="A50" t="s">
        <v>410</v>
      </c>
      <c r="B50" t="s">
        <v>26</v>
      </c>
      <c r="E50" t="s">
        <v>212</v>
      </c>
    </row>
    <row r="51" spans="1:6" x14ac:dyDescent="0.25">
      <c r="A51" t="s">
        <v>411</v>
      </c>
      <c r="B51" t="s">
        <v>26</v>
      </c>
      <c r="E51" t="s">
        <v>212</v>
      </c>
    </row>
    <row r="52" spans="1:6" x14ac:dyDescent="0.25">
      <c r="A52" t="s">
        <v>412</v>
      </c>
      <c r="B52" t="s">
        <v>26</v>
      </c>
      <c r="E52" t="s">
        <v>212</v>
      </c>
    </row>
    <row r="53" spans="1:6" x14ac:dyDescent="0.25">
      <c r="A53" t="s">
        <v>413</v>
      </c>
      <c r="B53" t="s">
        <v>26</v>
      </c>
      <c r="E53" t="s">
        <v>212</v>
      </c>
    </row>
    <row r="54" spans="1:6" x14ac:dyDescent="0.25">
      <c r="A54" t="s">
        <v>414</v>
      </c>
      <c r="B54" t="s">
        <v>26</v>
      </c>
      <c r="E54" t="s">
        <v>212</v>
      </c>
    </row>
    <row r="56" spans="1:6" ht="15.75" x14ac:dyDescent="0.25">
      <c r="A56" s="10" t="s">
        <v>415</v>
      </c>
      <c r="B56" s="9"/>
      <c r="C56" s="9"/>
      <c r="D56" s="9"/>
      <c r="E56" s="9"/>
      <c r="F56" s="9"/>
    </row>
    <row r="57" spans="1:6" x14ac:dyDescent="0.25">
      <c r="A57" s="3" t="s">
        <v>207</v>
      </c>
      <c r="B57" s="3" t="s">
        <v>208</v>
      </c>
      <c r="C57" s="3" t="s">
        <v>209</v>
      </c>
      <c r="D57" s="3" t="s">
        <v>210</v>
      </c>
      <c r="E57" s="3" t="s">
        <v>73</v>
      </c>
      <c r="F57" s="3" t="s">
        <v>74</v>
      </c>
    </row>
    <row r="58" spans="1:6" x14ac:dyDescent="0.25">
      <c r="A58" t="s">
        <v>416</v>
      </c>
      <c r="B58" t="s">
        <v>26</v>
      </c>
      <c r="E58" t="s">
        <v>212</v>
      </c>
    </row>
    <row r="59" spans="1:6" x14ac:dyDescent="0.25">
      <c r="A59" t="s">
        <v>417</v>
      </c>
      <c r="B59" t="s">
        <v>26</v>
      </c>
      <c r="E59" t="s">
        <v>212</v>
      </c>
    </row>
    <row r="60" spans="1:6" x14ac:dyDescent="0.25">
      <c r="A60" t="s">
        <v>418</v>
      </c>
      <c r="B60" t="s">
        <v>26</v>
      </c>
      <c r="E60" t="s">
        <v>212</v>
      </c>
    </row>
    <row r="61" spans="1:6" x14ac:dyDescent="0.25">
      <c r="A61" t="s">
        <v>419</v>
      </c>
      <c r="B61" t="s">
        <v>26</v>
      </c>
      <c r="E61" t="s">
        <v>212</v>
      </c>
    </row>
    <row r="62" spans="1:6" x14ac:dyDescent="0.25">
      <c r="A62" t="s">
        <v>420</v>
      </c>
      <c r="B62" t="s">
        <v>26</v>
      </c>
      <c r="E62" t="s">
        <v>212</v>
      </c>
    </row>
    <row r="63" spans="1:6" x14ac:dyDescent="0.25">
      <c r="A63" t="s">
        <v>421</v>
      </c>
      <c r="B63" t="s">
        <v>26</v>
      </c>
      <c r="E63" t="s">
        <v>212</v>
      </c>
    </row>
    <row r="64" spans="1:6" x14ac:dyDescent="0.25">
      <c r="A64" t="s">
        <v>422</v>
      </c>
      <c r="B64" t="s">
        <v>26</v>
      </c>
      <c r="E64" t="s">
        <v>212</v>
      </c>
    </row>
    <row r="65" spans="1:6" x14ac:dyDescent="0.25">
      <c r="A65" t="s">
        <v>423</v>
      </c>
      <c r="B65" t="s">
        <v>26</v>
      </c>
      <c r="E65" t="s">
        <v>212</v>
      </c>
    </row>
    <row r="66" spans="1:6" x14ac:dyDescent="0.25">
      <c r="A66" t="s">
        <v>424</v>
      </c>
      <c r="B66" t="s">
        <v>26</v>
      </c>
      <c r="E66" t="s">
        <v>212</v>
      </c>
    </row>
    <row r="67" spans="1:6" x14ac:dyDescent="0.25">
      <c r="A67" t="s">
        <v>425</v>
      </c>
      <c r="B67" t="s">
        <v>26</v>
      </c>
      <c r="E67" t="s">
        <v>212</v>
      </c>
    </row>
    <row r="69" spans="1:6" ht="15.75" x14ac:dyDescent="0.25">
      <c r="A69" s="10" t="s">
        <v>426</v>
      </c>
      <c r="B69" s="9"/>
      <c r="C69" s="9"/>
      <c r="D69" s="9"/>
      <c r="E69" s="9"/>
      <c r="F69" s="9"/>
    </row>
    <row r="71" spans="1:6" x14ac:dyDescent="0.25">
      <c r="A71" s="3" t="s">
        <v>173</v>
      </c>
      <c r="B71" s="3" t="s">
        <v>175</v>
      </c>
      <c r="C71" s="3" t="s">
        <v>427</v>
      </c>
      <c r="D71" s="3" t="s">
        <v>428</v>
      </c>
      <c r="E71" s="3" t="s">
        <v>429</v>
      </c>
      <c r="F71" s="3" t="s">
        <v>73</v>
      </c>
    </row>
    <row r="72" spans="1:6" x14ac:dyDescent="0.25">
      <c r="A72" t="s">
        <v>430</v>
      </c>
    </row>
    <row r="73" spans="1:6" x14ac:dyDescent="0.25">
      <c r="A73" t="s">
        <v>431</v>
      </c>
    </row>
    <row r="74" spans="1:6" x14ac:dyDescent="0.25">
      <c r="A74" t="s">
        <v>432</v>
      </c>
    </row>
    <row r="75" spans="1:6" x14ac:dyDescent="0.25">
      <c r="A75" t="s">
        <v>433</v>
      </c>
    </row>
    <row r="76" spans="1:6" x14ac:dyDescent="0.25">
      <c r="A76" t="s">
        <v>434</v>
      </c>
    </row>
    <row r="77" spans="1:6" x14ac:dyDescent="0.25">
      <c r="A77" t="s">
        <v>435</v>
      </c>
    </row>
    <row r="78" spans="1:6" x14ac:dyDescent="0.25">
      <c r="A78" t="s">
        <v>436</v>
      </c>
    </row>
  </sheetData>
  <mergeCells count="7">
    <mergeCell ref="A69:F69"/>
    <mergeCell ref="A1:F1"/>
    <mergeCell ref="A5:F5"/>
    <mergeCell ref="A22:F22"/>
    <mergeCell ref="A56:F56"/>
    <mergeCell ref="A3:F3"/>
    <mergeCell ref="A39:F39"/>
  </mergeCells>
  <dataValidations count="1">
    <dataValidation type="list" sqref="E6:E79" xr:uid="{00000000-0002-0000-0900-000000000000}">
      <formula1>"Not Started,In Progress,Completed,Blocked"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3"/>
  <sheetViews>
    <sheetView topLeftCell="A48" workbookViewId="0">
      <selection activeCell="M18" sqref="M18"/>
    </sheetView>
  </sheetViews>
  <sheetFormatPr defaultRowHeight="15" x14ac:dyDescent="0.25"/>
  <cols>
    <col min="1" max="1" width="28.85546875" customWidth="1"/>
    <col min="2" max="8" width="16" customWidth="1"/>
  </cols>
  <sheetData>
    <row r="1" spans="1:8" ht="21" x14ac:dyDescent="0.35">
      <c r="A1" s="8" t="s">
        <v>437</v>
      </c>
      <c r="B1" s="9"/>
      <c r="C1" s="9"/>
      <c r="D1" s="9"/>
      <c r="E1" s="9"/>
      <c r="F1" s="9"/>
      <c r="G1" s="9"/>
      <c r="H1" s="9"/>
    </row>
    <row r="3" spans="1:8" x14ac:dyDescent="0.25">
      <c r="A3" s="1" t="s">
        <v>438</v>
      </c>
      <c r="C3" s="1" t="s">
        <v>439</v>
      </c>
      <c r="E3" s="1" t="s">
        <v>440</v>
      </c>
    </row>
    <row r="5" spans="1:8" ht="15.75" x14ac:dyDescent="0.25">
      <c r="A5" s="10" t="s">
        <v>441</v>
      </c>
      <c r="B5" s="9"/>
      <c r="C5" s="9"/>
      <c r="D5" s="9"/>
      <c r="E5" s="9"/>
      <c r="F5" s="9"/>
      <c r="G5" s="9"/>
      <c r="H5" s="9"/>
    </row>
    <row r="6" spans="1:8" x14ac:dyDescent="0.25">
      <c r="A6" s="3" t="s">
        <v>173</v>
      </c>
      <c r="B6" s="3" t="s">
        <v>442</v>
      </c>
      <c r="C6" s="3" t="s">
        <v>443</v>
      </c>
      <c r="D6" s="3" t="s">
        <v>177</v>
      </c>
      <c r="E6" s="3" t="s">
        <v>175</v>
      </c>
      <c r="F6" s="3" t="s">
        <v>73</v>
      </c>
      <c r="G6" s="3" t="s">
        <v>74</v>
      </c>
    </row>
    <row r="7" spans="1:8" x14ac:dyDescent="0.25">
      <c r="A7" t="s">
        <v>444</v>
      </c>
      <c r="D7" s="6">
        <f t="shared" ref="D7:D14" si="0">IF(C7=0,0,(B7-C7)/C7)</f>
        <v>0</v>
      </c>
    </row>
    <row r="8" spans="1:8" x14ac:dyDescent="0.25">
      <c r="A8" t="s">
        <v>431</v>
      </c>
      <c r="D8" s="6">
        <f t="shared" si="0"/>
        <v>0</v>
      </c>
    </row>
    <row r="9" spans="1:8" x14ac:dyDescent="0.25">
      <c r="A9" t="s">
        <v>432</v>
      </c>
      <c r="D9" s="6">
        <f t="shared" si="0"/>
        <v>0</v>
      </c>
    </row>
    <row r="10" spans="1:8" x14ac:dyDescent="0.25">
      <c r="A10" t="s">
        <v>445</v>
      </c>
      <c r="D10" s="6">
        <f t="shared" si="0"/>
        <v>0</v>
      </c>
    </row>
    <row r="11" spans="1:8" x14ac:dyDescent="0.25">
      <c r="A11" t="s">
        <v>446</v>
      </c>
      <c r="D11" s="6">
        <f t="shared" si="0"/>
        <v>0</v>
      </c>
    </row>
    <row r="12" spans="1:8" x14ac:dyDescent="0.25">
      <c r="A12" t="s">
        <v>447</v>
      </c>
      <c r="D12" s="6">
        <f t="shared" si="0"/>
        <v>0</v>
      </c>
    </row>
    <row r="13" spans="1:8" x14ac:dyDescent="0.25">
      <c r="A13" t="s">
        <v>433</v>
      </c>
      <c r="D13" s="6">
        <f t="shared" si="0"/>
        <v>0</v>
      </c>
    </row>
    <row r="14" spans="1:8" x14ac:dyDescent="0.25">
      <c r="A14" t="s">
        <v>434</v>
      </c>
      <c r="D14" s="6">
        <f t="shared" si="0"/>
        <v>0</v>
      </c>
    </row>
    <row r="16" spans="1:8" ht="15.75" x14ac:dyDescent="0.25">
      <c r="A16" s="10" t="s">
        <v>448</v>
      </c>
      <c r="B16" s="9"/>
      <c r="C16" s="9"/>
      <c r="D16" s="9"/>
      <c r="E16" s="9"/>
      <c r="F16" s="9"/>
      <c r="G16" s="9"/>
      <c r="H16" s="9"/>
    </row>
    <row r="18" spans="1:1" x14ac:dyDescent="0.25">
      <c r="A18" s="2" t="s">
        <v>449</v>
      </c>
    </row>
    <row r="19" spans="1:1" x14ac:dyDescent="0.25">
      <c r="A19" t="s">
        <v>311</v>
      </c>
    </row>
    <row r="20" spans="1:1" x14ac:dyDescent="0.25">
      <c r="A20" t="s">
        <v>312</v>
      </c>
    </row>
    <row r="21" spans="1:1" x14ac:dyDescent="0.25">
      <c r="A21" t="s">
        <v>313</v>
      </c>
    </row>
    <row r="22" spans="1:1" x14ac:dyDescent="0.25">
      <c r="A22" s="2" t="s">
        <v>450</v>
      </c>
    </row>
    <row r="23" spans="1:1" x14ac:dyDescent="0.25">
      <c r="A23" t="s">
        <v>311</v>
      </c>
    </row>
    <row r="24" spans="1:1" x14ac:dyDescent="0.25">
      <c r="A24" t="s">
        <v>312</v>
      </c>
    </row>
    <row r="25" spans="1:1" x14ac:dyDescent="0.25">
      <c r="A25" t="s">
        <v>313</v>
      </c>
    </row>
    <row r="26" spans="1:1" x14ac:dyDescent="0.25">
      <c r="A26" s="2" t="s">
        <v>451</v>
      </c>
    </row>
    <row r="27" spans="1:1" x14ac:dyDescent="0.25">
      <c r="A27" t="s">
        <v>311</v>
      </c>
    </row>
    <row r="28" spans="1:1" x14ac:dyDescent="0.25">
      <c r="A28" t="s">
        <v>312</v>
      </c>
    </row>
    <row r="29" spans="1:1" x14ac:dyDescent="0.25">
      <c r="A29" t="s">
        <v>313</v>
      </c>
    </row>
    <row r="30" spans="1:1" x14ac:dyDescent="0.25">
      <c r="A30" s="2" t="s">
        <v>452</v>
      </c>
    </row>
    <row r="31" spans="1:1" x14ac:dyDescent="0.25">
      <c r="A31" t="s">
        <v>311</v>
      </c>
    </row>
    <row r="32" spans="1:1" x14ac:dyDescent="0.25">
      <c r="A32" t="s">
        <v>312</v>
      </c>
    </row>
    <row r="33" spans="1:8" x14ac:dyDescent="0.25">
      <c r="A33" t="s">
        <v>313</v>
      </c>
    </row>
    <row r="34" spans="1:8" ht="15.75" x14ac:dyDescent="0.25">
      <c r="A34" s="10" t="s">
        <v>453</v>
      </c>
      <c r="B34" s="9"/>
      <c r="C34" s="9"/>
      <c r="D34" s="9"/>
      <c r="E34" s="9"/>
      <c r="F34" s="9"/>
      <c r="G34" s="9"/>
      <c r="H34" s="9"/>
    </row>
    <row r="36" spans="1:8" x14ac:dyDescent="0.25">
      <c r="A36" s="2" t="s">
        <v>454</v>
      </c>
    </row>
    <row r="37" spans="1:8" x14ac:dyDescent="0.25">
      <c r="A37" t="s">
        <v>455</v>
      </c>
    </row>
    <row r="38" spans="1:8" x14ac:dyDescent="0.25">
      <c r="A38" t="s">
        <v>455</v>
      </c>
    </row>
    <row r="39" spans="1:8" x14ac:dyDescent="0.25">
      <c r="A39" t="s">
        <v>455</v>
      </c>
    </row>
    <row r="40" spans="1:8" x14ac:dyDescent="0.25">
      <c r="A40" s="2" t="s">
        <v>456</v>
      </c>
    </row>
    <row r="41" spans="1:8" x14ac:dyDescent="0.25">
      <c r="A41" t="s">
        <v>455</v>
      </c>
    </row>
    <row r="42" spans="1:8" x14ac:dyDescent="0.25">
      <c r="A42" t="s">
        <v>455</v>
      </c>
    </row>
    <row r="43" spans="1:8" x14ac:dyDescent="0.25">
      <c r="A43" t="s">
        <v>455</v>
      </c>
    </row>
    <row r="44" spans="1:8" x14ac:dyDescent="0.25">
      <c r="A44" s="2" t="s">
        <v>457</v>
      </c>
    </row>
    <row r="45" spans="1:8" x14ac:dyDescent="0.25">
      <c r="A45" t="s">
        <v>455</v>
      </c>
    </row>
    <row r="46" spans="1:8" x14ac:dyDescent="0.25">
      <c r="A46" t="s">
        <v>455</v>
      </c>
    </row>
    <row r="47" spans="1:8" x14ac:dyDescent="0.25">
      <c r="A47" t="s">
        <v>455</v>
      </c>
    </row>
    <row r="48" spans="1:8" ht="15.75" x14ac:dyDescent="0.25">
      <c r="A48" s="10" t="s">
        <v>458</v>
      </c>
      <c r="B48" s="9"/>
      <c r="C48" s="9"/>
      <c r="D48" s="9"/>
      <c r="E48" s="9"/>
      <c r="F48" s="9"/>
      <c r="G48" s="9"/>
      <c r="H48" s="9"/>
    </row>
    <row r="50" spans="1:8" x14ac:dyDescent="0.25">
      <c r="A50" s="2" t="s">
        <v>459</v>
      </c>
    </row>
    <row r="51" spans="1:8" x14ac:dyDescent="0.25">
      <c r="A51" t="s">
        <v>311</v>
      </c>
    </row>
    <row r="52" spans="1:8" x14ac:dyDescent="0.25">
      <c r="A52" t="s">
        <v>312</v>
      </c>
    </row>
    <row r="53" spans="1:8" x14ac:dyDescent="0.25">
      <c r="A53" t="s">
        <v>313</v>
      </c>
    </row>
    <row r="54" spans="1:8" x14ac:dyDescent="0.25">
      <c r="A54" s="2" t="s">
        <v>460</v>
      </c>
    </row>
    <row r="55" spans="1:8" x14ac:dyDescent="0.25">
      <c r="A55" t="s">
        <v>311</v>
      </c>
    </row>
    <row r="56" spans="1:8" x14ac:dyDescent="0.25">
      <c r="A56" t="s">
        <v>312</v>
      </c>
    </row>
    <row r="57" spans="1:8" x14ac:dyDescent="0.25">
      <c r="A57" t="s">
        <v>313</v>
      </c>
    </row>
    <row r="58" spans="1:8" x14ac:dyDescent="0.25">
      <c r="A58" s="2" t="s">
        <v>461</v>
      </c>
    </row>
    <row r="59" spans="1:8" x14ac:dyDescent="0.25">
      <c r="A59" t="s">
        <v>311</v>
      </c>
    </row>
    <row r="60" spans="1:8" x14ac:dyDescent="0.25">
      <c r="A60" t="s">
        <v>312</v>
      </c>
    </row>
    <row r="61" spans="1:8" x14ac:dyDescent="0.25">
      <c r="A61" t="s">
        <v>313</v>
      </c>
    </row>
    <row r="62" spans="1:8" ht="15.75" x14ac:dyDescent="0.25">
      <c r="A62" s="10" t="s">
        <v>462</v>
      </c>
      <c r="B62" s="9"/>
      <c r="C62" s="9"/>
      <c r="D62" s="9"/>
      <c r="E62" s="9"/>
      <c r="F62" s="9"/>
      <c r="G62" s="9"/>
      <c r="H62" s="9"/>
    </row>
    <row r="63" spans="1:8" x14ac:dyDescent="0.25">
      <c r="A63" s="3" t="s">
        <v>463</v>
      </c>
      <c r="B63" s="3" t="s">
        <v>333</v>
      </c>
      <c r="C63" s="3" t="s">
        <v>209</v>
      </c>
      <c r="D63" s="3" t="s">
        <v>210</v>
      </c>
      <c r="E63" s="3" t="s">
        <v>73</v>
      </c>
    </row>
    <row r="64" spans="1:8" x14ac:dyDescent="0.25">
      <c r="B64" t="s">
        <v>464</v>
      </c>
      <c r="E64" t="s">
        <v>212</v>
      </c>
    </row>
    <row r="65" spans="2:5" x14ac:dyDescent="0.25">
      <c r="B65" t="s">
        <v>464</v>
      </c>
      <c r="E65" t="s">
        <v>212</v>
      </c>
    </row>
    <row r="66" spans="2:5" x14ac:dyDescent="0.25">
      <c r="B66" t="s">
        <v>464</v>
      </c>
      <c r="E66" t="s">
        <v>212</v>
      </c>
    </row>
    <row r="67" spans="2:5" x14ac:dyDescent="0.25">
      <c r="B67" t="s">
        <v>464</v>
      </c>
      <c r="E67" t="s">
        <v>212</v>
      </c>
    </row>
    <row r="68" spans="2:5" x14ac:dyDescent="0.25">
      <c r="B68" t="s">
        <v>464</v>
      </c>
      <c r="E68" t="s">
        <v>212</v>
      </c>
    </row>
    <row r="69" spans="2:5" x14ac:dyDescent="0.25">
      <c r="B69" t="s">
        <v>464</v>
      </c>
      <c r="E69" t="s">
        <v>212</v>
      </c>
    </row>
    <row r="70" spans="2:5" x14ac:dyDescent="0.25">
      <c r="B70" t="s">
        <v>464</v>
      </c>
      <c r="E70" t="s">
        <v>212</v>
      </c>
    </row>
    <row r="71" spans="2:5" x14ac:dyDescent="0.25">
      <c r="B71" t="s">
        <v>464</v>
      </c>
      <c r="E71" t="s">
        <v>212</v>
      </c>
    </row>
    <row r="72" spans="2:5" x14ac:dyDescent="0.25">
      <c r="B72" t="s">
        <v>464</v>
      </c>
      <c r="E72" t="s">
        <v>212</v>
      </c>
    </row>
    <row r="73" spans="2:5" x14ac:dyDescent="0.25">
      <c r="B73" t="s">
        <v>464</v>
      </c>
      <c r="E73" t="s">
        <v>212</v>
      </c>
    </row>
  </sheetData>
  <mergeCells count="6">
    <mergeCell ref="A1:H1"/>
    <mergeCell ref="A48:H48"/>
    <mergeCell ref="A62:H62"/>
    <mergeCell ref="A16:H16"/>
    <mergeCell ref="A5:H5"/>
    <mergeCell ref="A34:H34"/>
  </mergeCells>
  <dataValidations count="2">
    <dataValidation type="list" sqref="B64:B73" xr:uid="{00000000-0002-0000-0A00-000000000000}">
      <formula1>"High,Medium,Low"</formula1>
    </dataValidation>
    <dataValidation type="list" sqref="E64:E73" xr:uid="{00000000-0002-0000-0A00-000001000000}">
      <formula1>"Not Started,In Progress,Completed"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8"/>
  <sheetViews>
    <sheetView tabSelected="1" workbookViewId="0">
      <selection activeCell="J26" sqref="J26"/>
    </sheetView>
  </sheetViews>
  <sheetFormatPr defaultRowHeight="15" x14ac:dyDescent="0.25"/>
  <cols>
    <col min="1" max="1" width="33.28515625" customWidth="1"/>
    <col min="2" max="2" width="26.7109375" customWidth="1"/>
    <col min="3" max="3" width="29.42578125" customWidth="1"/>
    <col min="4" max="4" width="26.42578125" customWidth="1"/>
    <col min="5" max="5" width="20.28515625" customWidth="1"/>
    <col min="6" max="8" width="18" customWidth="1"/>
  </cols>
  <sheetData>
    <row r="1" spans="1:8" ht="21" x14ac:dyDescent="0.35">
      <c r="A1" s="8" t="s">
        <v>465</v>
      </c>
      <c r="B1" s="9"/>
      <c r="C1" s="9"/>
      <c r="D1" s="9"/>
      <c r="E1" s="9"/>
      <c r="F1" s="9"/>
      <c r="G1" s="9"/>
      <c r="H1" s="9"/>
    </row>
    <row r="3" spans="1:8" x14ac:dyDescent="0.25">
      <c r="A3" s="1" t="s">
        <v>466</v>
      </c>
      <c r="C3" s="1" t="s">
        <v>467</v>
      </c>
    </row>
    <row r="5" spans="1:8" ht="15.75" x14ac:dyDescent="0.25">
      <c r="A5" s="10" t="s">
        <v>468</v>
      </c>
      <c r="B5" s="9"/>
      <c r="C5" s="9"/>
      <c r="D5" s="9"/>
      <c r="E5" s="9"/>
      <c r="F5" s="9"/>
      <c r="G5" s="9"/>
      <c r="H5" s="9"/>
    </row>
    <row r="7" spans="1:8" x14ac:dyDescent="0.25">
      <c r="A7" s="11" t="s">
        <v>469</v>
      </c>
      <c r="B7" s="9"/>
      <c r="C7" s="9"/>
      <c r="D7" s="9"/>
      <c r="E7" s="9"/>
      <c r="F7" s="9"/>
      <c r="G7" s="9"/>
      <c r="H7" s="9"/>
    </row>
    <row r="8" spans="1:8" x14ac:dyDescent="0.25">
      <c r="A8" t="s">
        <v>470</v>
      </c>
    </row>
    <row r="9" spans="1:8" x14ac:dyDescent="0.25">
      <c r="A9" t="s">
        <v>471</v>
      </c>
    </row>
    <row r="10" spans="1:8" x14ac:dyDescent="0.25">
      <c r="A10" t="s">
        <v>472</v>
      </c>
    </row>
    <row r="11" spans="1:8" x14ac:dyDescent="0.25">
      <c r="A11" t="s">
        <v>473</v>
      </c>
    </row>
    <row r="12" spans="1:8" x14ac:dyDescent="0.25">
      <c r="A12" t="s">
        <v>474</v>
      </c>
    </row>
    <row r="14" spans="1:8" x14ac:dyDescent="0.25">
      <c r="A14" s="11" t="s">
        <v>475</v>
      </c>
      <c r="B14" s="9"/>
      <c r="C14" s="9"/>
      <c r="D14" s="9"/>
      <c r="E14" s="9"/>
      <c r="F14" s="9"/>
      <c r="G14" s="9"/>
      <c r="H14" s="9"/>
    </row>
    <row r="15" spans="1:8" x14ac:dyDescent="0.25">
      <c r="A15" t="s">
        <v>476</v>
      </c>
    </row>
    <row r="16" spans="1:8" x14ac:dyDescent="0.25">
      <c r="A16" t="s">
        <v>477</v>
      </c>
    </row>
    <row r="17" spans="1:8" x14ac:dyDescent="0.25">
      <c r="A17" t="s">
        <v>478</v>
      </c>
    </row>
    <row r="18" spans="1:8" x14ac:dyDescent="0.25">
      <c r="A18" t="s">
        <v>479</v>
      </c>
    </row>
    <row r="19" spans="1:8" x14ac:dyDescent="0.25">
      <c r="A19" t="s">
        <v>480</v>
      </c>
    </row>
    <row r="21" spans="1:8" x14ac:dyDescent="0.25">
      <c r="A21" s="11" t="s">
        <v>481</v>
      </c>
      <c r="B21" s="9"/>
      <c r="C21" s="9"/>
      <c r="D21" s="9"/>
      <c r="E21" s="9"/>
      <c r="F21" s="9"/>
      <c r="G21" s="9"/>
      <c r="H21" s="9"/>
    </row>
    <row r="22" spans="1:8" x14ac:dyDescent="0.25">
      <c r="A22" t="s">
        <v>482</v>
      </c>
    </row>
    <row r="23" spans="1:8" x14ac:dyDescent="0.25">
      <c r="A23" t="s">
        <v>483</v>
      </c>
    </row>
    <row r="24" spans="1:8" x14ac:dyDescent="0.25">
      <c r="A24" t="s">
        <v>484</v>
      </c>
    </row>
    <row r="25" spans="1:8" x14ac:dyDescent="0.25">
      <c r="A25" t="s">
        <v>485</v>
      </c>
    </row>
    <row r="26" spans="1:8" x14ac:dyDescent="0.25">
      <c r="A26" t="s">
        <v>486</v>
      </c>
    </row>
    <row r="28" spans="1:8" ht="15.75" x14ac:dyDescent="0.25">
      <c r="A28" s="10" t="s">
        <v>487</v>
      </c>
      <c r="B28" s="9"/>
      <c r="C28" s="9"/>
      <c r="D28" s="9"/>
      <c r="E28" s="9"/>
      <c r="F28" s="9"/>
      <c r="G28" s="9"/>
      <c r="H28" s="9"/>
    </row>
    <row r="30" spans="1:8" x14ac:dyDescent="0.25">
      <c r="A30" s="3" t="s">
        <v>488</v>
      </c>
      <c r="B30" s="3" t="s">
        <v>489</v>
      </c>
      <c r="C30" s="3" t="s">
        <v>490</v>
      </c>
      <c r="D30" s="3" t="s">
        <v>491</v>
      </c>
      <c r="E30" s="3" t="s">
        <v>492</v>
      </c>
      <c r="F30" s="3" t="s">
        <v>493</v>
      </c>
    </row>
    <row r="31" spans="1:8" x14ac:dyDescent="0.25">
      <c r="A31" t="s">
        <v>494</v>
      </c>
      <c r="F31">
        <f t="shared" ref="F31:F36" si="0">B31+C31+D31+E31</f>
        <v>0</v>
      </c>
    </row>
    <row r="32" spans="1:8" x14ac:dyDescent="0.25">
      <c r="A32" t="s">
        <v>495</v>
      </c>
      <c r="F32">
        <f t="shared" si="0"/>
        <v>0</v>
      </c>
    </row>
    <row r="33" spans="1:8" x14ac:dyDescent="0.25">
      <c r="A33" t="s">
        <v>496</v>
      </c>
      <c r="F33">
        <f t="shared" si="0"/>
        <v>0</v>
      </c>
    </row>
    <row r="34" spans="1:8" x14ac:dyDescent="0.25">
      <c r="A34" t="s">
        <v>497</v>
      </c>
      <c r="F34">
        <f t="shared" si="0"/>
        <v>0</v>
      </c>
    </row>
    <row r="35" spans="1:8" x14ac:dyDescent="0.25">
      <c r="A35" t="s">
        <v>498</v>
      </c>
      <c r="F35">
        <f t="shared" si="0"/>
        <v>0</v>
      </c>
    </row>
    <row r="36" spans="1:8" x14ac:dyDescent="0.25">
      <c r="A36" t="s">
        <v>499</v>
      </c>
      <c r="F36">
        <f t="shared" si="0"/>
        <v>0</v>
      </c>
    </row>
    <row r="38" spans="1:8" x14ac:dyDescent="0.25">
      <c r="A38" s="2" t="s">
        <v>500</v>
      </c>
    </row>
    <row r="39" spans="1:8" x14ac:dyDescent="0.25">
      <c r="A39" t="s">
        <v>501</v>
      </c>
    </row>
    <row r="40" spans="1:8" x14ac:dyDescent="0.25">
      <c r="A40" t="s">
        <v>502</v>
      </c>
    </row>
    <row r="42" spans="1:8" ht="15.75" x14ac:dyDescent="0.25">
      <c r="A42" s="10" t="s">
        <v>503</v>
      </c>
      <c r="B42" s="9"/>
      <c r="C42" s="9"/>
      <c r="D42" s="9"/>
      <c r="E42" s="9"/>
      <c r="F42" s="9"/>
      <c r="G42" s="9"/>
      <c r="H42" s="9"/>
    </row>
    <row r="44" spans="1:8" x14ac:dyDescent="0.25">
      <c r="A44" s="2" t="s">
        <v>504</v>
      </c>
    </row>
    <row r="45" spans="1:8" x14ac:dyDescent="0.25">
      <c r="A45" t="s">
        <v>455</v>
      </c>
    </row>
    <row r="46" spans="1:8" x14ac:dyDescent="0.25">
      <c r="A46" t="s">
        <v>455</v>
      </c>
    </row>
    <row r="47" spans="1:8" x14ac:dyDescent="0.25">
      <c r="A47" t="s">
        <v>455</v>
      </c>
    </row>
    <row r="48" spans="1:8" x14ac:dyDescent="0.25">
      <c r="A48" t="s">
        <v>455</v>
      </c>
    </row>
    <row r="49" spans="1:1" x14ac:dyDescent="0.25">
      <c r="A49" s="2" t="s">
        <v>505</v>
      </c>
    </row>
    <row r="50" spans="1:1" x14ac:dyDescent="0.25">
      <c r="A50" t="s">
        <v>455</v>
      </c>
    </row>
    <row r="51" spans="1:1" x14ac:dyDescent="0.25">
      <c r="A51" t="s">
        <v>455</v>
      </c>
    </row>
    <row r="52" spans="1:1" x14ac:dyDescent="0.25">
      <c r="A52" t="s">
        <v>455</v>
      </c>
    </row>
    <row r="53" spans="1:1" x14ac:dyDescent="0.25">
      <c r="A53" t="s">
        <v>455</v>
      </c>
    </row>
    <row r="54" spans="1:1" x14ac:dyDescent="0.25">
      <c r="A54" s="2" t="s">
        <v>506</v>
      </c>
    </row>
    <row r="55" spans="1:1" x14ac:dyDescent="0.25">
      <c r="A55" t="s">
        <v>455</v>
      </c>
    </row>
    <row r="56" spans="1:1" x14ac:dyDescent="0.25">
      <c r="A56" t="s">
        <v>455</v>
      </c>
    </row>
    <row r="57" spans="1:1" x14ac:dyDescent="0.25">
      <c r="A57" t="s">
        <v>455</v>
      </c>
    </row>
    <row r="58" spans="1:1" x14ac:dyDescent="0.25">
      <c r="A58" t="s">
        <v>455</v>
      </c>
    </row>
  </sheetData>
  <mergeCells count="7">
    <mergeCell ref="A1:H1"/>
    <mergeCell ref="A21:H21"/>
    <mergeCell ref="A7:H7"/>
    <mergeCell ref="A28:H28"/>
    <mergeCell ref="A42:H42"/>
    <mergeCell ref="A14:H14"/>
    <mergeCell ref="A5:H5"/>
  </mergeCells>
  <dataValidations count="1">
    <dataValidation type="whole" sqref="B31:E36" xr:uid="{00000000-0002-0000-0B00-000000000000}">
      <formula1>1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MVP Strategy Canvas</vt:lpstr>
      <vt:lpstr>Business Model Canvas</vt:lpstr>
      <vt:lpstr>Assumption Mapping</vt:lpstr>
      <vt:lpstr>Feature Prioritization</vt:lpstr>
      <vt:lpstr>Customer Interviews</vt:lpstr>
      <vt:lpstr>Metrics Dashboard</vt:lpstr>
      <vt:lpstr>Testing Methods</vt:lpstr>
      <vt:lpstr>Customer Journey</vt:lpstr>
      <vt:lpstr>Sprint Planning</vt:lpstr>
      <vt:lpstr>Launch Checklist</vt:lpstr>
      <vt:lpstr>Weekly Review</vt:lpstr>
      <vt:lpstr>Pivot 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BRUNDA GOWRAV</cp:lastModifiedBy>
  <dcterms:created xsi:type="dcterms:W3CDTF">2025-07-16T03:50:21Z</dcterms:created>
  <dcterms:modified xsi:type="dcterms:W3CDTF">2025-07-16T04:01:58Z</dcterms:modified>
</cp:coreProperties>
</file>