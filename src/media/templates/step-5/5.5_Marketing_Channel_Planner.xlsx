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5 Templates/"/>
    </mc:Choice>
  </mc:AlternateContent>
  <xr:revisionPtr revIDLastSave="3" documentId="11_2846F1C7F6545A10C5501B5694D6D3741E7BEAE7" xr6:coauthVersionLast="47" xr6:coauthVersionMax="47" xr10:uidLastSave="{9DF57099-F13B-4319-95F2-E85E24A16DEB}"/>
  <bookViews>
    <workbookView xWindow="-120" yWindow="-120" windowWidth="29040" windowHeight="15840" activeTab="2" xr2:uid="{00000000-000D-0000-FFFF-FFFF00000000}"/>
  </bookViews>
  <sheets>
    <sheet name="Channel Strategy" sheetId="1" r:id="rId1"/>
    <sheet name="Content Calendar" sheetId="2" r:id="rId2"/>
    <sheet name="Budget Track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4" i="3"/>
  <c r="C11" i="3"/>
  <c r="B11" i="3"/>
  <c r="D10" i="3"/>
  <c r="E10" i="3" s="1"/>
  <c r="D9" i="3"/>
  <c r="E9" i="3" s="1"/>
  <c r="D8" i="3"/>
  <c r="E8" i="3" s="1"/>
  <c r="D7" i="3"/>
  <c r="E7" i="3" s="1"/>
  <c r="D6" i="3"/>
  <c r="D5" i="3"/>
  <c r="E5" i="3" s="1"/>
  <c r="D4" i="3"/>
  <c r="E11" i="3" l="1"/>
  <c r="D11" i="3"/>
</calcChain>
</file>

<file path=xl/sharedStrings.xml><?xml version="1.0" encoding="utf-8"?>
<sst xmlns="http://schemas.openxmlformats.org/spreadsheetml/2006/main" count="229" uniqueCount="135">
  <si>
    <t>Marketing Channel Planning &amp; Strategy</t>
  </si>
  <si>
    <t>Channel</t>
  </si>
  <si>
    <t>Target Audience</t>
  </si>
  <si>
    <t>Content Type</t>
  </si>
  <si>
    <t>Frequency</t>
  </si>
  <si>
    <t>Budget</t>
  </si>
  <si>
    <t>Expected ROI</t>
  </si>
  <si>
    <t>Priority</t>
  </si>
  <si>
    <t>Notes</t>
  </si>
  <si>
    <t>Website/SEO</t>
  </si>
  <si>
    <t>All prospects searching online</t>
  </si>
  <si>
    <t>Blog posts, landing pages, service pages</t>
  </si>
  <si>
    <t>Weekly blog posts</t>
  </si>
  <si>
    <t>$500/month</t>
  </si>
  <si>
    <t>300-500%</t>
  </si>
  <si>
    <t>High</t>
  </si>
  <si>
    <t>Long-term strategy</t>
  </si>
  <si>
    <t>Google Ads</t>
  </si>
  <si>
    <t>High-intent searchers</t>
  </si>
  <si>
    <t>Search ads, display ads</t>
  </si>
  <si>
    <t>Continuous</t>
  </si>
  <si>
    <t>$1000/month</t>
  </si>
  <si>
    <t>200-400%</t>
  </si>
  <si>
    <t>Quick results</t>
  </si>
  <si>
    <t>Social Media - LinkedIn</t>
  </si>
  <si>
    <t>B2B professionals</t>
  </si>
  <si>
    <t>Industry insights, company updates</t>
  </si>
  <si>
    <t>3-5 posts/week</t>
  </si>
  <si>
    <t>$200/month</t>
  </si>
  <si>
    <t>150-300%</t>
  </si>
  <si>
    <t>Medium</t>
  </si>
  <si>
    <t>Relationship building</t>
  </si>
  <si>
    <t>Social Media - Facebook</t>
  </si>
  <si>
    <t>Local customers, B2C</t>
  </si>
  <si>
    <t>Behind-scenes, customer stories</t>
  </si>
  <si>
    <t>3-4 posts/week</t>
  </si>
  <si>
    <t>$300/month</t>
  </si>
  <si>
    <t>Community engagement</t>
  </si>
  <si>
    <t>Email Marketing</t>
  </si>
  <si>
    <t>Existing leads and customers</t>
  </si>
  <si>
    <t>Newsletters, promotions, education</t>
  </si>
  <si>
    <t>Weekly</t>
  </si>
  <si>
    <t>$100/month</t>
  </si>
  <si>
    <t>400-600%</t>
  </si>
  <si>
    <t>Highest ROI channel</t>
  </si>
  <si>
    <t>Content Marketing</t>
  </si>
  <si>
    <t>Industry professionals</t>
  </si>
  <si>
    <t>Whitepapers, case studies, guides</t>
  </si>
  <si>
    <t>Monthly</t>
  </si>
  <si>
    <t>Authority building</t>
  </si>
  <si>
    <t>Networking Events</t>
  </si>
  <si>
    <t>Local business community</t>
  </si>
  <si>
    <t>Presentations, booth displays</t>
  </si>
  <si>
    <t>Relationship focused</t>
  </si>
  <si>
    <t>Referral Program</t>
  </si>
  <si>
    <t>Existing customers</t>
  </si>
  <si>
    <t>Referral incentives, testimonials</t>
  </si>
  <si>
    <t>Ongoing</t>
  </si>
  <si>
    <t>500-800%</t>
  </si>
  <si>
    <t>Leverage satisfied customers</t>
  </si>
  <si>
    <t>Direct Mail</t>
  </si>
  <si>
    <t>Local businesses</t>
  </si>
  <si>
    <t>Postcards, brochures</t>
  </si>
  <si>
    <t>Quarterly</t>
  </si>
  <si>
    <t>$400/month</t>
  </si>
  <si>
    <t>100-200%</t>
  </si>
  <si>
    <t>Low</t>
  </si>
  <si>
    <t>Traditional approach</t>
  </si>
  <si>
    <t>Podcast Advertising</t>
  </si>
  <si>
    <t>Industry-specific audiences</t>
  </si>
  <si>
    <t>Sponsored content, interviews</t>
  </si>
  <si>
    <t>$600/month</t>
  </si>
  <si>
    <t>Thought leadership</t>
  </si>
  <si>
    <t>Monthly Content Calendar</t>
  </si>
  <si>
    <t>Date</t>
  </si>
  <si>
    <t>Topic/Title</t>
  </si>
  <si>
    <t>Status</t>
  </si>
  <si>
    <t>Assigned To</t>
  </si>
  <si>
    <t>07/09/2025</t>
  </si>
  <si>
    <t>Website/Blog</t>
  </si>
  <si>
    <t>Blog Post</t>
  </si>
  <si>
    <t>Industry Trend Analysis</t>
  </si>
  <si>
    <t>Planned</t>
  </si>
  <si>
    <t>Content Manager</t>
  </si>
  <si>
    <t>07/12/2025</t>
  </si>
  <si>
    <t>LinkedIn</t>
  </si>
  <si>
    <t>Social Post</t>
  </si>
  <si>
    <t>Industry Insight</t>
  </si>
  <si>
    <t>Marketing Team</t>
  </si>
  <si>
    <t>07/14/2025</t>
  </si>
  <si>
    <t>Email</t>
  </si>
  <si>
    <t>Newsletter</t>
  </si>
  <si>
    <t>Weekly Update</t>
  </si>
  <si>
    <t>Marketing Manager</t>
  </si>
  <si>
    <t>07/15/2025</t>
  </si>
  <si>
    <t>07/16/2025</t>
  </si>
  <si>
    <t>07/18/2025</t>
  </si>
  <si>
    <t>07/21/2025</t>
  </si>
  <si>
    <t>07/23/2025</t>
  </si>
  <si>
    <t>07/24/2025</t>
  </si>
  <si>
    <t>07/27/2025</t>
  </si>
  <si>
    <t>07/28/2025</t>
  </si>
  <si>
    <t>07/30/2025</t>
  </si>
  <si>
    <t>08/02/2025</t>
  </si>
  <si>
    <t>08/04/2025</t>
  </si>
  <si>
    <t>08/05/2025</t>
  </si>
  <si>
    <t>08/06/2025</t>
  </si>
  <si>
    <t>Marketing Budget Tracking</t>
  </si>
  <si>
    <t>Monthly Budget</t>
  </si>
  <si>
    <t>Actual Spend</t>
  </si>
  <si>
    <t>Variance</t>
  </si>
  <si>
    <t>ROI %</t>
  </si>
  <si>
    <t>$500</t>
  </si>
  <si>
    <t>$450</t>
  </si>
  <si>
    <t>On track</t>
  </si>
  <si>
    <t>$1000</t>
  </si>
  <si>
    <t>$1050</t>
  </si>
  <si>
    <t>Slightly over</t>
  </si>
  <si>
    <t>Social Media</t>
  </si>
  <si>
    <t>$480</t>
  </si>
  <si>
    <t>Good performance</t>
  </si>
  <si>
    <t>$100</t>
  </si>
  <si>
    <t>$95</t>
  </si>
  <si>
    <t>Excellent ROI</t>
  </si>
  <si>
    <t>$300</t>
  </si>
  <si>
    <t>$320</t>
  </si>
  <si>
    <t>High value</t>
  </si>
  <si>
    <t>Networking</t>
  </si>
  <si>
    <t>$600</t>
  </si>
  <si>
    <t>Over budget</t>
  </si>
  <si>
    <t>Referrals</t>
  </si>
  <si>
    <t>$200</t>
  </si>
  <si>
    <t>$150</t>
  </si>
  <si>
    <t>Best ROI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</si>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</sst>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defaultRowHeight="15" x14ac:dyDescent="0.25"/>
  <cols>
    <col min="1" max="1" width="20.7109375" customWidth="1"/>
    <col min="2" max="2" width="25.7109375" customWidth="1"/>
    <col min="3" max="3" width="20.7109375" customWidth="1"/>
    <col min="4" max="4" width="15.7109375" customWidth="1"/>
    <col min="5" max="5" width="12.7109375" customWidth="1"/>
    <col min="6" max="6" width="15.7109375" customWidth="1"/>
    <col min="7" max="7" width="10.7109375" customWidth="1"/>
    <col min="8" max="8" width="25.7109375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30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3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15</v>
      </c>
      <c r="H5" s="2" t="s">
        <v>23</v>
      </c>
    </row>
    <row r="6" spans="1:8" ht="3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</row>
    <row r="7" spans="1:8" ht="3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22</v>
      </c>
      <c r="G7" s="2" t="s">
        <v>30</v>
      </c>
      <c r="H7" s="2" t="s">
        <v>37</v>
      </c>
    </row>
    <row r="8" spans="1:8" ht="45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15</v>
      </c>
      <c r="H8" s="2" t="s">
        <v>44</v>
      </c>
    </row>
    <row r="9" spans="1:8" ht="30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36</v>
      </c>
      <c r="F9" s="2" t="s">
        <v>14</v>
      </c>
      <c r="G9" s="2" t="s">
        <v>15</v>
      </c>
      <c r="H9" s="2" t="s">
        <v>49</v>
      </c>
    </row>
    <row r="10" spans="1:8" ht="30" x14ac:dyDescent="0.25">
      <c r="A10" s="2" t="s">
        <v>50</v>
      </c>
      <c r="B10" s="2" t="s">
        <v>51</v>
      </c>
      <c r="C10" s="2" t="s">
        <v>52</v>
      </c>
      <c r="D10" s="2" t="s">
        <v>48</v>
      </c>
      <c r="E10" s="2" t="s">
        <v>13</v>
      </c>
      <c r="F10" s="2" t="s">
        <v>22</v>
      </c>
      <c r="G10" s="2" t="s">
        <v>30</v>
      </c>
      <c r="H10" s="2" t="s">
        <v>53</v>
      </c>
    </row>
    <row r="11" spans="1:8" ht="3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28</v>
      </c>
      <c r="F11" s="2" t="s">
        <v>58</v>
      </c>
      <c r="G11" s="2" t="s">
        <v>15</v>
      </c>
      <c r="H11" s="2" t="s">
        <v>59</v>
      </c>
    </row>
    <row r="12" spans="1:8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</row>
    <row r="13" spans="1:8" ht="30" x14ac:dyDescent="0.25">
      <c r="A13" s="2" t="s">
        <v>68</v>
      </c>
      <c r="B13" s="2" t="s">
        <v>69</v>
      </c>
      <c r="C13" s="2" t="s">
        <v>70</v>
      </c>
      <c r="D13" s="2" t="s">
        <v>48</v>
      </c>
      <c r="E13" s="2" t="s">
        <v>71</v>
      </c>
      <c r="F13" s="2" t="s">
        <v>29</v>
      </c>
      <c r="G13" s="2" t="s">
        <v>30</v>
      </c>
      <c r="H13" s="2" t="s">
        <v>72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F24" sqref="F24"/>
    </sheetView>
  </sheetViews>
  <sheetFormatPr defaultRowHeight="15" x14ac:dyDescent="0.25"/>
  <cols>
    <col min="1" max="1" width="12.7109375" customWidth="1"/>
    <col min="2" max="3" width="15.7109375" customWidth="1"/>
    <col min="4" max="4" width="25.7109375" customWidth="1"/>
    <col min="5" max="5" width="12.7109375" customWidth="1"/>
    <col min="6" max="6" width="15.7109375" customWidth="1"/>
    <col min="7" max="7" width="20.7109375" customWidth="1"/>
  </cols>
  <sheetData>
    <row r="1" spans="1:7" x14ac:dyDescent="0.25">
      <c r="A1" s="3" t="s">
        <v>73</v>
      </c>
      <c r="B1" s="3"/>
      <c r="C1" s="3"/>
      <c r="D1" s="3"/>
      <c r="E1" s="3"/>
      <c r="F1" s="3"/>
      <c r="G1" s="3"/>
    </row>
    <row r="3" spans="1:7" x14ac:dyDescent="0.25">
      <c r="A3" s="1" t="s">
        <v>74</v>
      </c>
      <c r="B3" s="1" t="s">
        <v>1</v>
      </c>
      <c r="C3" s="1" t="s">
        <v>3</v>
      </c>
      <c r="D3" s="1" t="s">
        <v>75</v>
      </c>
      <c r="E3" s="1" t="s">
        <v>76</v>
      </c>
      <c r="F3" s="1" t="s">
        <v>77</v>
      </c>
      <c r="G3" s="1" t="s">
        <v>8</v>
      </c>
    </row>
    <row r="4" spans="1:7" ht="30" x14ac:dyDescent="0.25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  <c r="G4" s="2"/>
    </row>
    <row r="5" spans="1:7" x14ac:dyDescent="0.25">
      <c r="A5" s="2" t="s">
        <v>84</v>
      </c>
      <c r="B5" s="2" t="s">
        <v>85</v>
      </c>
      <c r="C5" s="2" t="s">
        <v>86</v>
      </c>
      <c r="D5" s="2" t="s">
        <v>87</v>
      </c>
      <c r="E5" s="2" t="s">
        <v>82</v>
      </c>
      <c r="F5" s="2" t="s">
        <v>88</v>
      </c>
      <c r="G5" s="2"/>
    </row>
    <row r="6" spans="1:7" ht="30" x14ac:dyDescent="0.25">
      <c r="A6" s="2" t="s">
        <v>89</v>
      </c>
      <c r="B6" s="2" t="s">
        <v>90</v>
      </c>
      <c r="C6" s="2" t="s">
        <v>91</v>
      </c>
      <c r="D6" s="2" t="s">
        <v>92</v>
      </c>
      <c r="E6" s="2" t="s">
        <v>82</v>
      </c>
      <c r="F6" s="2" t="s">
        <v>93</v>
      </c>
      <c r="G6" s="2"/>
    </row>
    <row r="7" spans="1:7" x14ac:dyDescent="0.25">
      <c r="A7" s="2" t="s">
        <v>94</v>
      </c>
      <c r="B7" s="2" t="s">
        <v>85</v>
      </c>
      <c r="C7" s="2" t="s">
        <v>86</v>
      </c>
      <c r="D7" s="2" t="s">
        <v>87</v>
      </c>
      <c r="E7" s="2" t="s">
        <v>82</v>
      </c>
      <c r="F7" s="2" t="s">
        <v>88</v>
      </c>
      <c r="G7" s="2"/>
    </row>
    <row r="8" spans="1:7" ht="30" x14ac:dyDescent="0.25">
      <c r="A8" s="2" t="s">
        <v>95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2"/>
    </row>
    <row r="9" spans="1:7" x14ac:dyDescent="0.25">
      <c r="A9" s="2" t="s">
        <v>96</v>
      </c>
      <c r="B9" s="2" t="s">
        <v>85</v>
      </c>
      <c r="C9" s="2" t="s">
        <v>86</v>
      </c>
      <c r="D9" s="2" t="s">
        <v>87</v>
      </c>
      <c r="E9" s="2" t="s">
        <v>82</v>
      </c>
      <c r="F9" s="2" t="s">
        <v>88</v>
      </c>
      <c r="G9" s="2"/>
    </row>
    <row r="10" spans="1:7" x14ac:dyDescent="0.25">
      <c r="A10" s="2" t="s">
        <v>97</v>
      </c>
      <c r="B10" s="2" t="s">
        <v>85</v>
      </c>
      <c r="C10" s="2" t="s">
        <v>86</v>
      </c>
      <c r="D10" s="2" t="s">
        <v>87</v>
      </c>
      <c r="E10" s="2" t="s">
        <v>82</v>
      </c>
      <c r="F10" s="2" t="s">
        <v>88</v>
      </c>
      <c r="G10" s="2"/>
    </row>
    <row r="11" spans="1:7" ht="30" x14ac:dyDescent="0.25">
      <c r="A11" s="2" t="s">
        <v>98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/>
    </row>
    <row r="12" spans="1:7" x14ac:dyDescent="0.25">
      <c r="A12" s="2" t="s">
        <v>99</v>
      </c>
      <c r="B12" s="2" t="s">
        <v>85</v>
      </c>
      <c r="C12" s="2" t="s">
        <v>86</v>
      </c>
      <c r="D12" s="2" t="s">
        <v>87</v>
      </c>
      <c r="E12" s="2" t="s">
        <v>82</v>
      </c>
      <c r="F12" s="2" t="s">
        <v>88</v>
      </c>
      <c r="G12" s="2"/>
    </row>
    <row r="13" spans="1:7" x14ac:dyDescent="0.25">
      <c r="A13" s="2" t="s">
        <v>100</v>
      </c>
      <c r="B13" s="2" t="s">
        <v>85</v>
      </c>
      <c r="C13" s="2" t="s">
        <v>86</v>
      </c>
      <c r="D13" s="2" t="s">
        <v>87</v>
      </c>
      <c r="E13" s="2" t="s">
        <v>82</v>
      </c>
      <c r="F13" s="2" t="s">
        <v>88</v>
      </c>
      <c r="G13" s="2"/>
    </row>
    <row r="14" spans="1:7" ht="30" x14ac:dyDescent="0.25">
      <c r="A14" s="2" t="s">
        <v>101</v>
      </c>
      <c r="B14" s="2" t="s">
        <v>90</v>
      </c>
      <c r="C14" s="2" t="s">
        <v>91</v>
      </c>
      <c r="D14" s="2" t="s">
        <v>92</v>
      </c>
      <c r="E14" s="2" t="s">
        <v>82</v>
      </c>
      <c r="F14" s="2" t="s">
        <v>93</v>
      </c>
      <c r="G14" s="2"/>
    </row>
    <row r="15" spans="1:7" ht="30" x14ac:dyDescent="0.25">
      <c r="A15" s="2" t="s">
        <v>102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/>
    </row>
    <row r="16" spans="1:7" x14ac:dyDescent="0.25">
      <c r="A16" s="2" t="s">
        <v>103</v>
      </c>
      <c r="B16" s="2" t="s">
        <v>85</v>
      </c>
      <c r="C16" s="2" t="s">
        <v>86</v>
      </c>
      <c r="D16" s="2" t="s">
        <v>87</v>
      </c>
      <c r="E16" s="2" t="s">
        <v>82</v>
      </c>
      <c r="F16" s="2" t="s">
        <v>88</v>
      </c>
      <c r="G16" s="2"/>
    </row>
    <row r="17" spans="1:7" ht="30" x14ac:dyDescent="0.25">
      <c r="A17" s="2" t="s">
        <v>104</v>
      </c>
      <c r="B17" s="2" t="s">
        <v>90</v>
      </c>
      <c r="C17" s="2" t="s">
        <v>91</v>
      </c>
      <c r="D17" s="2" t="s">
        <v>92</v>
      </c>
      <c r="E17" s="2" t="s">
        <v>82</v>
      </c>
      <c r="F17" s="2" t="s">
        <v>93</v>
      </c>
      <c r="G17" s="2"/>
    </row>
    <row r="18" spans="1:7" x14ac:dyDescent="0.25">
      <c r="A18" s="2" t="s">
        <v>105</v>
      </c>
      <c r="B18" s="2" t="s">
        <v>85</v>
      </c>
      <c r="C18" s="2" t="s">
        <v>86</v>
      </c>
      <c r="D18" s="2" t="s">
        <v>87</v>
      </c>
      <c r="E18" s="2" t="s">
        <v>82</v>
      </c>
      <c r="F18" s="2" t="s">
        <v>88</v>
      </c>
      <c r="G18" s="2"/>
    </row>
    <row r="19" spans="1:7" ht="30" x14ac:dyDescent="0.25">
      <c r="A19" s="2" t="s">
        <v>106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  <c r="G19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E6" sqref="E6"/>
    </sheetView>
  </sheetViews>
  <sheetFormatPr defaultRowHeight="15" x14ac:dyDescent="0.25"/>
  <cols>
    <col min="1" max="1" width="20.7109375" customWidth="1"/>
    <col min="2" max="6" width="15.7109375" customWidth="1"/>
  </cols>
  <sheetData>
    <row r="1" spans="1:6" x14ac:dyDescent="0.25">
      <c r="A1" s="3" t="s">
        <v>107</v>
      </c>
      <c r="B1" s="3"/>
      <c r="C1" s="3"/>
      <c r="D1" s="3"/>
      <c r="E1" s="3"/>
      <c r="F1" s="3"/>
    </row>
    <row r="3" spans="1:6" x14ac:dyDescent="0.25">
      <c r="A3" s="1" t="s">
        <v>1</v>
      </c>
      <c r="B3" s="1" t="s">
        <v>108</v>
      </c>
      <c r="C3" s="1" t="s">
        <v>109</v>
      </c>
      <c r="D3" s="1" t="s">
        <v>110</v>
      </c>
      <c r="E3" s="1" t="s">
        <v>111</v>
      </c>
      <c r="F3" s="1" t="s">
        <v>8</v>
      </c>
    </row>
    <row r="4" spans="1:6" x14ac:dyDescent="0.25">
      <c r="A4" s="2" t="s">
        <v>9</v>
      </c>
      <c r="B4" s="2" t="s">
        <v>112</v>
      </c>
      <c r="C4" s="2" t="s">
        <v>113</v>
      </c>
      <c r="D4" s="2">
        <f t="shared" ref="D4:D10" si="0">C4-B4</f>
        <v>-50</v>
      </c>
      <c r="E4" s="2">
        <f>((D4*3.5)-C4)/C4*100</f>
        <v>-138.88888888888889</v>
      </c>
      <c r="F4" s="2" t="s">
        <v>114</v>
      </c>
    </row>
    <row r="5" spans="1:6" x14ac:dyDescent="0.25">
      <c r="A5" s="2" t="s">
        <v>17</v>
      </c>
      <c r="B5" s="2" t="s">
        <v>115</v>
      </c>
      <c r="C5" s="2" t="s">
        <v>116</v>
      </c>
      <c r="D5" s="2">
        <f t="shared" si="0"/>
        <v>50</v>
      </c>
      <c r="E5" s="2">
        <f>((D5*2.5)-C5)/C5*100</f>
        <v>-88.095238095238088</v>
      </c>
      <c r="F5" s="2" t="s">
        <v>117</v>
      </c>
    </row>
    <row r="6" spans="1:6" ht="30" x14ac:dyDescent="0.25">
      <c r="A6" s="2" t="s">
        <v>118</v>
      </c>
      <c r="B6" s="2" t="s">
        <v>112</v>
      </c>
      <c r="C6" s="2" t="s">
        <v>119</v>
      </c>
      <c r="D6" s="2">
        <f t="shared" si="0"/>
        <v>-20</v>
      </c>
      <c r="E6" s="2">
        <f>((D6*2)-C6)/C6*100</f>
        <v>-108.33333333333333</v>
      </c>
      <c r="F6" s="2" t="s">
        <v>120</v>
      </c>
    </row>
    <row r="7" spans="1:6" x14ac:dyDescent="0.25">
      <c r="A7" s="2" t="s">
        <v>38</v>
      </c>
      <c r="B7" s="2" t="s">
        <v>121</v>
      </c>
      <c r="C7" s="2" t="s">
        <v>122</v>
      </c>
      <c r="D7" s="2">
        <f t="shared" si="0"/>
        <v>-5</v>
      </c>
      <c r="E7" s="2">
        <f>((D7*5)-C7)/C7*100</f>
        <v>-126.31578947368421</v>
      </c>
      <c r="F7" s="2" t="s">
        <v>123</v>
      </c>
    </row>
    <row r="8" spans="1:6" x14ac:dyDescent="0.25">
      <c r="A8" s="2" t="s">
        <v>45</v>
      </c>
      <c r="B8" s="2" t="s">
        <v>124</v>
      </c>
      <c r="C8" s="2" t="s">
        <v>125</v>
      </c>
      <c r="D8" s="2">
        <f t="shared" si="0"/>
        <v>20</v>
      </c>
      <c r="E8" s="2">
        <f>((D8*4)-C8)/C8*100</f>
        <v>-75</v>
      </c>
      <c r="F8" s="2" t="s">
        <v>126</v>
      </c>
    </row>
    <row r="9" spans="1:6" x14ac:dyDescent="0.25">
      <c r="A9" s="2" t="s">
        <v>127</v>
      </c>
      <c r="B9" s="2" t="s">
        <v>112</v>
      </c>
      <c r="C9" s="2" t="s">
        <v>128</v>
      </c>
      <c r="D9" s="2">
        <f t="shared" si="0"/>
        <v>100</v>
      </c>
      <c r="E9" s="2">
        <f>((D9*3)-C9)/C9*100</f>
        <v>-50</v>
      </c>
      <c r="F9" s="2" t="s">
        <v>129</v>
      </c>
    </row>
    <row r="10" spans="1:6" x14ac:dyDescent="0.25">
      <c r="A10" s="2" t="s">
        <v>130</v>
      </c>
      <c r="B10" s="2" t="s">
        <v>131</v>
      </c>
      <c r="C10" s="2" t="s">
        <v>132</v>
      </c>
      <c r="D10" s="2">
        <f t="shared" si="0"/>
        <v>-50</v>
      </c>
      <c r="E10" s="2">
        <f>((D10*6)-C10)/C10*100</f>
        <v>-300</v>
      </c>
      <c r="F10" s="2" t="s">
        <v>133</v>
      </c>
    </row>
    <row r="11" spans="1:6" x14ac:dyDescent="0.25">
      <c r="A11" s="2" t="s">
        <v>134</v>
      </c>
      <c r="B11" s="2">
        <f>SUM(B4:B10)</f>
        <v>0</v>
      </c>
      <c r="C11" s="2">
        <f>SUM(C4:C10)</f>
        <v>0</v>
      </c>
      <c r="D11" s="2">
        <f>SUM(D4:D10)</f>
        <v>45</v>
      </c>
      <c r="E11" s="2">
        <f>AVERAGE(E4:E10)</f>
        <v>-126.66189282730636</v>
      </c>
      <c r="F11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Channel Strategy</vt:lpstr>
      <vt:lpstr>Content Calendar</vt:lpstr>
      <vt:lpstr>Budget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2025-07-09T07:46:07Z</dcterms:created>
  <dcterms:modified xsi:type="dcterms:W3CDTF">2025-07-15T09:12:41Z</dcterms:modified>
</cp:coreProperties>
</file>