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5 Templates/"/>
    </mc:Choice>
  </mc:AlternateContent>
  <xr:revisionPtr revIDLastSave="30" documentId="11_28B1F0156963D62DD7A81BB1613621DF5B0B0A70" xr6:coauthVersionLast="47" xr6:coauthVersionMax="47" xr10:uidLastSave="{DA93960A-9BD2-488A-9D7E-E2644A1367FE}"/>
  <bookViews>
    <workbookView xWindow="-120" yWindow="-120" windowWidth="29040" windowHeight="15840" activeTab="1" xr2:uid="{00000000-000D-0000-FFFF-FFFF00000000}"/>
  </bookViews>
  <sheets>
    <sheet name="Budget Overview" sheetId="1" r:id="rId1"/>
    <sheet name="ROI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9" i="1"/>
  <c r="F10" i="1"/>
  <c r="F11" i="1"/>
  <c r="F13" i="1"/>
  <c r="F14" i="1"/>
  <c r="F15" i="1"/>
  <c r="F17" i="1"/>
  <c r="F18" i="1"/>
  <c r="F19" i="1"/>
  <c r="F20" i="1"/>
  <c r="F22" i="1"/>
  <c r="F23" i="1"/>
  <c r="F24" i="1"/>
  <c r="F26" i="1"/>
  <c r="F27" i="1"/>
  <c r="F28" i="1"/>
  <c r="F30" i="1"/>
  <c r="F31" i="1"/>
  <c r="F32" i="1"/>
  <c r="F34" i="1"/>
  <c r="F35" i="1"/>
  <c r="F36" i="1"/>
  <c r="F7" i="1"/>
  <c r="F6" i="1"/>
  <c r="F5" i="1"/>
  <c r="D11" i="2"/>
  <c r="C11" i="2"/>
  <c r="B11" i="2"/>
  <c r="E10" i="2"/>
  <c r="D10" i="2"/>
  <c r="F10" i="2" s="1"/>
  <c r="F9" i="2"/>
  <c r="E9" i="2"/>
  <c r="D9" i="2"/>
  <c r="F8" i="2"/>
  <c r="E8" i="2"/>
  <c r="D8" i="2"/>
  <c r="E7" i="2"/>
  <c r="D7" i="2"/>
  <c r="F7" i="2" s="1"/>
  <c r="E6" i="2"/>
  <c r="D6" i="2"/>
  <c r="F6" i="2" s="1"/>
  <c r="F11" i="2" s="1"/>
  <c r="F5" i="2"/>
  <c r="E5" i="2"/>
  <c r="D5" i="2"/>
  <c r="E4" i="2"/>
  <c r="E11" i="2" s="1"/>
  <c r="D4" i="2"/>
  <c r="D36" i="1"/>
  <c r="C36" i="1"/>
  <c r="E35" i="1"/>
  <c r="E34" i="1"/>
  <c r="E32" i="1"/>
  <c r="E31" i="1"/>
  <c r="E30" i="1"/>
  <c r="E28" i="1"/>
  <c r="E27" i="1"/>
  <c r="E26" i="1"/>
  <c r="E24" i="1"/>
  <c r="E23" i="1"/>
  <c r="E22" i="1"/>
  <c r="E20" i="1"/>
  <c r="E19" i="1"/>
  <c r="E18" i="1"/>
  <c r="E17" i="1"/>
  <c r="E15" i="1"/>
  <c r="E14" i="1"/>
  <c r="E13" i="1"/>
  <c r="E11" i="1"/>
  <c r="E10" i="1"/>
  <c r="E9" i="1"/>
  <c r="E7" i="1"/>
  <c r="E6" i="1"/>
  <c r="E36" i="1" s="1"/>
  <c r="E5" i="1"/>
</calcChain>
</file>

<file path=xl/sharedStrings.xml><?xml version="1.0" encoding="utf-8"?>
<sst xmlns="http://schemas.openxmlformats.org/spreadsheetml/2006/main" count="80" uniqueCount="57">
  <si>
    <t>Systems &amp; Infrastructure Budget Tracker</t>
  </si>
  <si>
    <t>Category</t>
  </si>
  <si>
    <t>Item</t>
  </si>
  <si>
    <t>Budgeted Amount</t>
  </si>
  <si>
    <t>Actual Spend</t>
  </si>
  <si>
    <t>Variance</t>
  </si>
  <si>
    <t>% of Budget</t>
  </si>
  <si>
    <t>Status</t>
  </si>
  <si>
    <t>CRM Systems</t>
  </si>
  <si>
    <t>HubSpot CRM (Annual)</t>
  </si>
  <si>
    <t>Paid</t>
  </si>
  <si>
    <t>CRM Setup &amp; Training</t>
  </si>
  <si>
    <t>Complete</t>
  </si>
  <si>
    <t>Data Migration Services</t>
  </si>
  <si>
    <t>Accounting Software</t>
  </si>
  <si>
    <t>QuickBooks Online (Annual)</t>
  </si>
  <si>
    <t>Bookkeeper Setup Fee</t>
  </si>
  <si>
    <t>Training &amp; Certification</t>
  </si>
  <si>
    <t>Communication Tools</t>
  </si>
  <si>
    <t>Google Workspace (Annual)</t>
  </si>
  <si>
    <t>Slack Pro (Annual)</t>
  </si>
  <si>
    <t>Zoom Pro (Annual)</t>
  </si>
  <si>
    <t>Website &amp; Digital</t>
  </si>
  <si>
    <t>Domain Registration (Annual)</t>
  </si>
  <si>
    <t>Web Hosting (Annual)</t>
  </si>
  <si>
    <t>Website Development</t>
  </si>
  <si>
    <t>SSL Certificate</t>
  </si>
  <si>
    <t>Marketing Tools</t>
  </si>
  <si>
    <t>Email Marketing Platform</t>
  </si>
  <si>
    <t>Active</t>
  </si>
  <si>
    <t>Social Media Management</t>
  </si>
  <si>
    <t>Analytics &amp; SEO Tools</t>
  </si>
  <si>
    <t>Integration &amp; Automation</t>
  </si>
  <si>
    <t>Zapier Pro (Annual)</t>
  </si>
  <si>
    <t>API Integration Setup</t>
  </si>
  <si>
    <t>Automation Consulting</t>
  </si>
  <si>
    <t>Training &amp; Support</t>
  </si>
  <si>
    <t>Team Training Programs</t>
  </si>
  <si>
    <t>Ongoing</t>
  </si>
  <si>
    <t>Technical Support</t>
  </si>
  <si>
    <t>Documentation &amp; Manuals</t>
  </si>
  <si>
    <t>Contingency</t>
  </si>
  <si>
    <t>Unexpected Expenses</t>
  </si>
  <si>
    <t>Available</t>
  </si>
  <si>
    <t>System Upgrades</t>
  </si>
  <si>
    <t>Reserved</t>
  </si>
  <si>
    <t>TOTAL</t>
  </si>
  <si>
    <t>Return on Investment Analysis</t>
  </si>
  <si>
    <t>System/Tool</t>
  </si>
  <si>
    <t>Investment</t>
  </si>
  <si>
    <t>Monthly Savings</t>
  </si>
  <si>
    <t>Annual Savings</t>
  </si>
  <si>
    <t>Payback Period</t>
  </si>
  <si>
    <t>ROI %</t>
  </si>
  <si>
    <t>CRM System</t>
  </si>
  <si>
    <t>Marketing Automation</t>
  </si>
  <si>
    <t>Integration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</si>
</sst>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opLeftCell="A7" workbookViewId="0">
      <selection activeCell="I32" sqref="I32"/>
    </sheetView>
  </sheetViews>
  <sheetFormatPr defaultRowHeight="15" x14ac:dyDescent="0.25"/>
  <cols>
    <col min="1" max="1" width="27.85546875" customWidth="1"/>
    <col min="2" max="2" width="25.7109375" customWidth="1"/>
    <col min="3" max="6" width="15.7109375" customWidth="1"/>
    <col min="7" max="7" width="12.7109375" customWidth="1"/>
  </cols>
  <sheetData>
    <row r="1" spans="1:7" x14ac:dyDescent="0.25">
      <c r="A1" s="5" t="s">
        <v>0</v>
      </c>
      <c r="B1" s="5"/>
      <c r="C1" s="5"/>
      <c r="D1" s="5"/>
      <c r="E1" s="5"/>
      <c r="F1" s="5"/>
      <c r="G1" s="5"/>
    </row>
    <row r="3" spans="1:7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s="6" t="s">
        <v>8</v>
      </c>
      <c r="B4" s="2"/>
      <c r="C4" s="2"/>
      <c r="D4" s="2"/>
      <c r="E4" s="3"/>
      <c r="F4" s="4"/>
      <c r="G4" s="2"/>
    </row>
    <row r="5" spans="1:7" x14ac:dyDescent="0.25">
      <c r="A5" s="2"/>
      <c r="B5" s="2" t="s">
        <v>9</v>
      </c>
      <c r="C5" s="3">
        <v>600</v>
      </c>
      <c r="D5" s="3">
        <v>600</v>
      </c>
      <c r="E5" s="3">
        <f>D4-C4</f>
        <v>0</v>
      </c>
      <c r="F5" s="4">
        <f>D5/C5</f>
        <v>1</v>
      </c>
      <c r="G5" s="2" t="s">
        <v>10</v>
      </c>
    </row>
    <row r="6" spans="1:7" x14ac:dyDescent="0.25">
      <c r="A6" s="2"/>
      <c r="B6" s="2" t="s">
        <v>11</v>
      </c>
      <c r="C6" s="3">
        <v>500</v>
      </c>
      <c r="D6" s="3">
        <v>450</v>
      </c>
      <c r="E6" s="3">
        <f>D5-C5</f>
        <v>0</v>
      </c>
      <c r="F6" s="4">
        <f>D6/C6</f>
        <v>0.9</v>
      </c>
      <c r="G6" s="2" t="s">
        <v>12</v>
      </c>
    </row>
    <row r="7" spans="1:7" x14ac:dyDescent="0.25">
      <c r="A7" s="2"/>
      <c r="B7" s="2" t="s">
        <v>13</v>
      </c>
      <c r="C7" s="3">
        <v>300</v>
      </c>
      <c r="D7" s="3">
        <v>280</v>
      </c>
      <c r="E7" s="3">
        <f>D6-C6</f>
        <v>-50</v>
      </c>
      <c r="F7" s="4">
        <f>D7/C7</f>
        <v>0.93333333333333335</v>
      </c>
      <c r="G7" s="2" t="s">
        <v>12</v>
      </c>
    </row>
    <row r="8" spans="1:7" x14ac:dyDescent="0.25">
      <c r="A8" s="6" t="s">
        <v>14</v>
      </c>
      <c r="B8" s="2"/>
      <c r="C8" s="2"/>
      <c r="D8" s="2"/>
      <c r="E8" s="3"/>
      <c r="F8" s="4"/>
      <c r="G8" s="2"/>
    </row>
    <row r="9" spans="1:7" x14ac:dyDescent="0.25">
      <c r="A9" s="2"/>
      <c r="B9" s="2" t="s">
        <v>15</v>
      </c>
      <c r="C9" s="3">
        <v>360</v>
      </c>
      <c r="D9" s="3">
        <v>360</v>
      </c>
      <c r="E9" s="3">
        <f>D8-C8</f>
        <v>0</v>
      </c>
      <c r="F9" s="4">
        <f t="shared" ref="F8:F36" si="0">D9/C9</f>
        <v>1</v>
      </c>
      <c r="G9" s="2" t="s">
        <v>10</v>
      </c>
    </row>
    <row r="10" spans="1:7" x14ac:dyDescent="0.25">
      <c r="A10" s="2"/>
      <c r="B10" s="2" t="s">
        <v>16</v>
      </c>
      <c r="C10" s="3">
        <v>200</v>
      </c>
      <c r="D10" s="3">
        <v>200</v>
      </c>
      <c r="E10" s="3">
        <f>D9-C9</f>
        <v>0</v>
      </c>
      <c r="F10" s="4">
        <f t="shared" si="0"/>
        <v>1</v>
      </c>
      <c r="G10" s="2" t="s">
        <v>10</v>
      </c>
    </row>
    <row r="11" spans="1:7" x14ac:dyDescent="0.25">
      <c r="A11" s="2"/>
      <c r="B11" s="2" t="s">
        <v>17</v>
      </c>
      <c r="C11" s="3">
        <v>150</v>
      </c>
      <c r="D11" s="3">
        <v>120</v>
      </c>
      <c r="E11" s="3">
        <f>D10-C10</f>
        <v>0</v>
      </c>
      <c r="F11" s="4">
        <f t="shared" si="0"/>
        <v>0.8</v>
      </c>
      <c r="G11" s="2" t="s">
        <v>12</v>
      </c>
    </row>
    <row r="12" spans="1:7" x14ac:dyDescent="0.25">
      <c r="A12" s="6" t="s">
        <v>18</v>
      </c>
      <c r="B12" s="2"/>
      <c r="C12" s="2"/>
      <c r="D12" s="2"/>
      <c r="E12" s="3"/>
      <c r="F12" s="4"/>
      <c r="G12" s="2"/>
    </row>
    <row r="13" spans="1:7" x14ac:dyDescent="0.25">
      <c r="A13" s="2"/>
      <c r="B13" s="2" t="s">
        <v>19</v>
      </c>
      <c r="C13" s="3">
        <v>432</v>
      </c>
      <c r="D13" s="3">
        <v>432</v>
      </c>
      <c r="E13" s="3">
        <f>D12-C12</f>
        <v>0</v>
      </c>
      <c r="F13" s="4">
        <f t="shared" si="0"/>
        <v>1</v>
      </c>
      <c r="G13" s="2" t="s">
        <v>10</v>
      </c>
    </row>
    <row r="14" spans="1:7" x14ac:dyDescent="0.25">
      <c r="A14" s="2"/>
      <c r="B14" s="2" t="s">
        <v>20</v>
      </c>
      <c r="C14" s="3">
        <v>240</v>
      </c>
      <c r="D14" s="3">
        <v>240</v>
      </c>
      <c r="E14" s="3">
        <f>D13-C13</f>
        <v>0</v>
      </c>
      <c r="F14" s="4">
        <f t="shared" si="0"/>
        <v>1</v>
      </c>
      <c r="G14" s="2" t="s">
        <v>10</v>
      </c>
    </row>
    <row r="15" spans="1:7" x14ac:dyDescent="0.25">
      <c r="A15" s="2"/>
      <c r="B15" s="2" t="s">
        <v>21</v>
      </c>
      <c r="C15" s="3">
        <v>180</v>
      </c>
      <c r="D15" s="3">
        <v>180</v>
      </c>
      <c r="E15" s="3">
        <f>D14-C14</f>
        <v>0</v>
      </c>
      <c r="F15" s="4">
        <f t="shared" si="0"/>
        <v>1</v>
      </c>
      <c r="G15" s="2" t="s">
        <v>10</v>
      </c>
    </row>
    <row r="16" spans="1:7" x14ac:dyDescent="0.25">
      <c r="A16" s="6" t="s">
        <v>22</v>
      </c>
      <c r="B16" s="2"/>
      <c r="C16" s="2"/>
      <c r="D16" s="2"/>
      <c r="E16" s="3"/>
      <c r="F16" s="4"/>
      <c r="G16" s="2"/>
    </row>
    <row r="17" spans="1:7" x14ac:dyDescent="0.25">
      <c r="A17" s="2"/>
      <c r="B17" s="2" t="s">
        <v>23</v>
      </c>
      <c r="C17" s="3">
        <v>50</v>
      </c>
      <c r="D17" s="3">
        <v>45</v>
      </c>
      <c r="E17" s="3">
        <f>D16-C16</f>
        <v>0</v>
      </c>
      <c r="F17" s="4">
        <f t="shared" si="0"/>
        <v>0.9</v>
      </c>
      <c r="G17" s="2" t="s">
        <v>10</v>
      </c>
    </row>
    <row r="18" spans="1:7" x14ac:dyDescent="0.25">
      <c r="A18" s="2"/>
      <c r="B18" s="2" t="s">
        <v>24</v>
      </c>
      <c r="C18" s="3">
        <v>300</v>
      </c>
      <c r="D18" s="3">
        <v>280</v>
      </c>
      <c r="E18" s="3">
        <f>D17-C17</f>
        <v>-5</v>
      </c>
      <c r="F18" s="4">
        <f t="shared" si="0"/>
        <v>0.93333333333333335</v>
      </c>
      <c r="G18" s="2" t="s">
        <v>10</v>
      </c>
    </row>
    <row r="19" spans="1:7" x14ac:dyDescent="0.25">
      <c r="A19" s="2"/>
      <c r="B19" s="2" t="s">
        <v>25</v>
      </c>
      <c r="C19" s="3">
        <v>2000</v>
      </c>
      <c r="D19" s="3">
        <v>1850</v>
      </c>
      <c r="E19" s="3">
        <f>D18-C18</f>
        <v>-20</v>
      </c>
      <c r="F19" s="4">
        <f t="shared" si="0"/>
        <v>0.92500000000000004</v>
      </c>
      <c r="G19" s="2" t="s">
        <v>12</v>
      </c>
    </row>
    <row r="20" spans="1:7" x14ac:dyDescent="0.25">
      <c r="A20" s="2"/>
      <c r="B20" s="2" t="s">
        <v>26</v>
      </c>
      <c r="C20" s="3">
        <v>100</v>
      </c>
      <c r="D20" s="3">
        <v>95</v>
      </c>
      <c r="E20" s="3">
        <f>D19-C19</f>
        <v>-150</v>
      </c>
      <c r="F20" s="4">
        <f t="shared" si="0"/>
        <v>0.95</v>
      </c>
      <c r="G20" s="2" t="s">
        <v>10</v>
      </c>
    </row>
    <row r="21" spans="1:7" x14ac:dyDescent="0.25">
      <c r="A21" s="6" t="s">
        <v>27</v>
      </c>
      <c r="B21" s="2"/>
      <c r="C21" s="2"/>
      <c r="D21" s="2"/>
      <c r="E21" s="3"/>
      <c r="F21" s="4"/>
      <c r="G21" s="2"/>
    </row>
    <row r="22" spans="1:7" x14ac:dyDescent="0.25">
      <c r="A22" s="2"/>
      <c r="B22" s="2" t="s">
        <v>28</v>
      </c>
      <c r="C22" s="3">
        <v>300</v>
      </c>
      <c r="D22" s="3">
        <v>285</v>
      </c>
      <c r="E22" s="3">
        <f>D21-C21</f>
        <v>0</v>
      </c>
      <c r="F22" s="4">
        <f t="shared" si="0"/>
        <v>0.95</v>
      </c>
      <c r="G22" s="2" t="s">
        <v>29</v>
      </c>
    </row>
    <row r="23" spans="1:7" x14ac:dyDescent="0.25">
      <c r="A23" s="2"/>
      <c r="B23" s="2" t="s">
        <v>30</v>
      </c>
      <c r="C23" s="3">
        <v>240</v>
      </c>
      <c r="D23" s="3">
        <v>240</v>
      </c>
      <c r="E23" s="3">
        <f>D22-C22</f>
        <v>-15</v>
      </c>
      <c r="F23" s="4">
        <f t="shared" si="0"/>
        <v>1</v>
      </c>
      <c r="G23" s="2" t="s">
        <v>29</v>
      </c>
    </row>
    <row r="24" spans="1:7" x14ac:dyDescent="0.25">
      <c r="A24" s="2"/>
      <c r="B24" s="2" t="s">
        <v>31</v>
      </c>
      <c r="C24" s="3">
        <v>600</v>
      </c>
      <c r="D24" s="3">
        <v>580</v>
      </c>
      <c r="E24" s="3">
        <f>D23-C23</f>
        <v>0</v>
      </c>
      <c r="F24" s="4">
        <f t="shared" si="0"/>
        <v>0.96666666666666667</v>
      </c>
      <c r="G24" s="2" t="s">
        <v>29</v>
      </c>
    </row>
    <row r="25" spans="1:7" x14ac:dyDescent="0.25">
      <c r="A25" s="6" t="s">
        <v>32</v>
      </c>
      <c r="B25" s="2"/>
      <c r="C25" s="2"/>
      <c r="D25" s="2"/>
      <c r="E25" s="3"/>
      <c r="F25" s="4"/>
      <c r="G25" s="2"/>
    </row>
    <row r="26" spans="1:7" x14ac:dyDescent="0.25">
      <c r="A26" s="2"/>
      <c r="B26" s="2" t="s">
        <v>33</v>
      </c>
      <c r="C26" s="3">
        <v>240</v>
      </c>
      <c r="D26" s="3">
        <v>240</v>
      </c>
      <c r="E26" s="3">
        <f>D25-C25</f>
        <v>0</v>
      </c>
      <c r="F26" s="4">
        <f t="shared" si="0"/>
        <v>1</v>
      </c>
      <c r="G26" s="2" t="s">
        <v>29</v>
      </c>
    </row>
    <row r="27" spans="1:7" x14ac:dyDescent="0.25">
      <c r="A27" s="2"/>
      <c r="B27" s="2" t="s">
        <v>34</v>
      </c>
      <c r="C27" s="3">
        <v>800</v>
      </c>
      <c r="D27" s="3">
        <v>750</v>
      </c>
      <c r="E27" s="3">
        <f>D26-C26</f>
        <v>0</v>
      </c>
      <c r="F27" s="4">
        <f t="shared" si="0"/>
        <v>0.9375</v>
      </c>
      <c r="G27" s="2" t="s">
        <v>12</v>
      </c>
    </row>
    <row r="28" spans="1:7" x14ac:dyDescent="0.25">
      <c r="A28" s="2"/>
      <c r="B28" s="2" t="s">
        <v>35</v>
      </c>
      <c r="C28" s="3">
        <v>600</v>
      </c>
      <c r="D28" s="3">
        <v>550</v>
      </c>
      <c r="E28" s="3">
        <f>D27-C27</f>
        <v>-50</v>
      </c>
      <c r="F28" s="4">
        <f t="shared" si="0"/>
        <v>0.91666666666666663</v>
      </c>
      <c r="G28" s="2" t="s">
        <v>12</v>
      </c>
    </row>
    <row r="29" spans="1:7" x14ac:dyDescent="0.25">
      <c r="A29" s="6" t="s">
        <v>36</v>
      </c>
      <c r="B29" s="2"/>
      <c r="C29" s="2"/>
      <c r="D29" s="2"/>
      <c r="E29" s="3"/>
      <c r="F29" s="4"/>
      <c r="G29" s="2"/>
    </row>
    <row r="30" spans="1:7" x14ac:dyDescent="0.25">
      <c r="A30" s="2"/>
      <c r="B30" s="2" t="s">
        <v>37</v>
      </c>
      <c r="C30" s="3">
        <v>1000</v>
      </c>
      <c r="D30" s="3">
        <v>900</v>
      </c>
      <c r="E30" s="3">
        <f>D29-C29</f>
        <v>0</v>
      </c>
      <c r="F30" s="4">
        <f t="shared" si="0"/>
        <v>0.9</v>
      </c>
      <c r="G30" s="2" t="s">
        <v>38</v>
      </c>
    </row>
    <row r="31" spans="1:7" x14ac:dyDescent="0.25">
      <c r="A31" s="2"/>
      <c r="B31" s="2" t="s">
        <v>39</v>
      </c>
      <c r="C31" s="3">
        <v>500</v>
      </c>
      <c r="D31" s="3">
        <v>420</v>
      </c>
      <c r="E31" s="3">
        <f>D30-C30</f>
        <v>-100</v>
      </c>
      <c r="F31" s="4">
        <f t="shared" si="0"/>
        <v>0.84</v>
      </c>
      <c r="G31" s="2" t="s">
        <v>38</v>
      </c>
    </row>
    <row r="32" spans="1:7" x14ac:dyDescent="0.25">
      <c r="A32" s="2"/>
      <c r="B32" s="2" t="s">
        <v>40</v>
      </c>
      <c r="C32" s="3">
        <v>300</v>
      </c>
      <c r="D32" s="3">
        <v>250</v>
      </c>
      <c r="E32" s="3">
        <f>D31-C31</f>
        <v>-80</v>
      </c>
      <c r="F32" s="4">
        <f t="shared" si="0"/>
        <v>0.83333333333333337</v>
      </c>
      <c r="G32" s="2" t="s">
        <v>12</v>
      </c>
    </row>
    <row r="33" spans="1:7" x14ac:dyDescent="0.25">
      <c r="A33" s="6" t="s">
        <v>41</v>
      </c>
      <c r="B33" s="2"/>
      <c r="C33" s="2"/>
      <c r="D33" s="2"/>
      <c r="E33" s="3"/>
      <c r="F33" s="4"/>
      <c r="G33" s="2"/>
    </row>
    <row r="34" spans="1:7" x14ac:dyDescent="0.25">
      <c r="A34" s="2"/>
      <c r="B34" s="2" t="s">
        <v>42</v>
      </c>
      <c r="C34" s="3">
        <v>1000</v>
      </c>
      <c r="D34" s="3">
        <v>650</v>
      </c>
      <c r="E34" s="3">
        <f>D33-C33</f>
        <v>0</v>
      </c>
      <c r="F34" s="4">
        <f t="shared" si="0"/>
        <v>0.65</v>
      </c>
      <c r="G34" s="2" t="s">
        <v>43</v>
      </c>
    </row>
    <row r="35" spans="1:7" x14ac:dyDescent="0.25">
      <c r="A35" s="2"/>
      <c r="B35" s="2" t="s">
        <v>44</v>
      </c>
      <c r="C35" s="3">
        <v>500</v>
      </c>
      <c r="D35" s="3">
        <v>0</v>
      </c>
      <c r="E35" s="3">
        <f>D34-C34</f>
        <v>-350</v>
      </c>
      <c r="F35" s="4">
        <f t="shared" si="0"/>
        <v>0</v>
      </c>
      <c r="G35" s="2" t="s">
        <v>45</v>
      </c>
    </row>
    <row r="36" spans="1:7" x14ac:dyDescent="0.25">
      <c r="A36" s="1" t="s">
        <v>46</v>
      </c>
      <c r="B36" s="2"/>
      <c r="C36" s="3">
        <f>SUM(C4:C34)</f>
        <v>10992</v>
      </c>
      <c r="D36" s="3">
        <f>SUM(D4:D34)</f>
        <v>9997</v>
      </c>
      <c r="E36" s="3">
        <f>SUM(E4:E34)</f>
        <v>-470</v>
      </c>
      <c r="F36" s="4">
        <f t="shared" si="0"/>
        <v>0.90947962154294038</v>
      </c>
      <c r="G36" s="2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tabSelected="1" workbookViewId="0">
      <selection activeCell="H12" sqref="H12"/>
    </sheetView>
  </sheetViews>
  <sheetFormatPr defaultRowHeight="15" x14ac:dyDescent="0.25"/>
  <cols>
    <col min="1" max="1" width="20.7109375" customWidth="1"/>
    <col min="2" max="6" width="15.7109375" customWidth="1"/>
  </cols>
  <sheetData>
    <row r="1" spans="1:6" x14ac:dyDescent="0.25">
      <c r="A1" s="5" t="s">
        <v>47</v>
      </c>
      <c r="B1" s="5"/>
      <c r="C1" s="5"/>
      <c r="D1" s="5"/>
      <c r="E1" s="5"/>
      <c r="F1" s="5"/>
    </row>
    <row r="3" spans="1:6" x14ac:dyDescent="0.25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</row>
    <row r="4" spans="1:6" x14ac:dyDescent="0.25">
      <c r="A4" s="2" t="s">
        <v>54</v>
      </c>
      <c r="B4" s="3">
        <v>1380</v>
      </c>
      <c r="C4" s="3">
        <v>500</v>
      </c>
      <c r="D4" s="3">
        <f t="shared" ref="D4:D10" si="0">C4*12</f>
        <v>6000</v>
      </c>
      <c r="E4" s="4">
        <f t="shared" ref="E4:E10" si="1">B4/C4</f>
        <v>2.76</v>
      </c>
      <c r="F4" s="4">
        <f>(D4-B4)/B4</f>
        <v>3.347826086956522</v>
      </c>
    </row>
    <row r="5" spans="1:6" x14ac:dyDescent="0.25">
      <c r="A5" s="2" t="s">
        <v>14</v>
      </c>
      <c r="B5" s="3">
        <v>710</v>
      </c>
      <c r="C5" s="3">
        <v>300</v>
      </c>
      <c r="D5" s="3">
        <f t="shared" si="0"/>
        <v>3600</v>
      </c>
      <c r="E5" s="4">
        <f t="shared" si="1"/>
        <v>2.3666666666666667</v>
      </c>
      <c r="F5" s="4">
        <f t="shared" ref="F4:F10" si="2">(D5-B5)/B5</f>
        <v>4.070422535211268</v>
      </c>
    </row>
    <row r="6" spans="1:6" x14ac:dyDescent="0.25">
      <c r="A6" s="2" t="s">
        <v>18</v>
      </c>
      <c r="B6" s="3">
        <v>852</v>
      </c>
      <c r="C6" s="3">
        <v>200</v>
      </c>
      <c r="D6" s="3">
        <f t="shared" si="0"/>
        <v>2400</v>
      </c>
      <c r="E6" s="4">
        <f t="shared" si="1"/>
        <v>4.26</v>
      </c>
      <c r="F6" s="4">
        <f t="shared" si="2"/>
        <v>1.8169014084507042</v>
      </c>
    </row>
    <row r="7" spans="1:6" x14ac:dyDescent="0.25">
      <c r="A7" s="2" t="s">
        <v>22</v>
      </c>
      <c r="B7" s="3">
        <v>2375</v>
      </c>
      <c r="C7" s="3">
        <v>400</v>
      </c>
      <c r="D7" s="3">
        <f t="shared" si="0"/>
        <v>4800</v>
      </c>
      <c r="E7" s="4">
        <f t="shared" si="1"/>
        <v>5.9375</v>
      </c>
      <c r="F7" s="4">
        <f t="shared" si="2"/>
        <v>1.0210526315789474</v>
      </c>
    </row>
    <row r="8" spans="1:6" x14ac:dyDescent="0.25">
      <c r="A8" s="2" t="s">
        <v>55</v>
      </c>
      <c r="B8" s="3">
        <v>1140</v>
      </c>
      <c r="C8" s="3">
        <v>600</v>
      </c>
      <c r="D8" s="3">
        <f t="shared" si="0"/>
        <v>7200</v>
      </c>
      <c r="E8" s="4">
        <f t="shared" si="1"/>
        <v>1.9</v>
      </c>
      <c r="F8" s="4">
        <f t="shared" si="2"/>
        <v>5.3157894736842106</v>
      </c>
    </row>
    <row r="9" spans="1:6" x14ac:dyDescent="0.25">
      <c r="A9" s="2" t="s">
        <v>56</v>
      </c>
      <c r="B9" s="3">
        <v>1640</v>
      </c>
      <c r="C9" s="3">
        <v>350</v>
      </c>
      <c r="D9" s="3">
        <f t="shared" si="0"/>
        <v>4200</v>
      </c>
      <c r="E9" s="4">
        <f t="shared" si="1"/>
        <v>4.6857142857142859</v>
      </c>
      <c r="F9" s="4">
        <f t="shared" si="2"/>
        <v>1.5609756097560976</v>
      </c>
    </row>
    <row r="10" spans="1:6" x14ac:dyDescent="0.25">
      <c r="A10" s="2" t="s">
        <v>36</v>
      </c>
      <c r="B10" s="3">
        <v>1750</v>
      </c>
      <c r="C10" s="3">
        <v>250</v>
      </c>
      <c r="D10" s="3">
        <f t="shared" si="0"/>
        <v>3000</v>
      </c>
      <c r="E10" s="4">
        <f t="shared" si="1"/>
        <v>7</v>
      </c>
      <c r="F10" s="4">
        <f t="shared" si="2"/>
        <v>0.7142857142857143</v>
      </c>
    </row>
    <row r="11" spans="1:6" x14ac:dyDescent="0.25">
      <c r="A11" s="1" t="s">
        <v>46</v>
      </c>
      <c r="B11" s="3">
        <f>SUM(B4:B10)</f>
        <v>9847</v>
      </c>
      <c r="C11" s="3">
        <f>SUM(C4:C10)</f>
        <v>2600</v>
      </c>
      <c r="D11" s="3">
        <f>SUM(D4:D10)</f>
        <v>31200</v>
      </c>
      <c r="E11" s="4">
        <f>AVERAGE(E4:E10)</f>
        <v>4.1299829931972791</v>
      </c>
      <c r="F11" s="4">
        <f>AVERAGE(F4:F10)</f>
        <v>2.5496076371319236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 Overview</vt:lpstr>
      <vt:lpstr>ROI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BRUNDA GOWRAV</cp:lastModifiedBy>
  <dcterms:created xsi:type="dcterms:W3CDTF">2025-07-09T07:46:07Z</dcterms:created>
  <dcterms:modified xsi:type="dcterms:W3CDTF">2025-07-15T09:07:38Z</dcterms:modified>
</cp:coreProperties>
</file>