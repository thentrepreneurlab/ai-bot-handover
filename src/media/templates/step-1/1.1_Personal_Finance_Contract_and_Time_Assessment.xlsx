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1 Templates/"/>
    </mc:Choice>
  </mc:AlternateContent>
  <xr:revisionPtr revIDLastSave="473" documentId="13_ncr:1_{48CE821B-4BA1-4A38-96AF-76294D7392C2}" xr6:coauthVersionLast="47" xr6:coauthVersionMax="47" xr10:uidLastSave="{4FA7B2AE-6E0D-4EA5-8FC7-52A791F3B891}"/>
  <bookViews>
    <workbookView minimized="1" xWindow="5505" yWindow="345" windowWidth="21600" windowHeight="11385" firstSheet="2" activeTab="6" xr2:uid="{00000000-000D-0000-FFFF-FFFF00000000}"/>
  </bookViews>
  <sheets>
    <sheet name="Instructions" sheetId="9" r:id="rId1"/>
    <sheet name="Contract Review" sheetId="1" r:id="rId2"/>
    <sheet name="Financial Assessment" sheetId="2" r:id="rId3"/>
    <sheet name="Emergency Fund Calculator" sheetId="3" r:id="rId4"/>
    <sheet name="Monthly Budget" sheetId="6" r:id="rId5"/>
    <sheet name="Time Audit" sheetId="4" r:id="rId6"/>
    <sheet name="Transition Timeline" sheetId="5" r:id="rId7"/>
    <sheet name="Risk Assessment" sheetId="7" r:id="rId8"/>
    <sheet name="Goal Tracker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9" i="4" l="1"/>
  <c r="J69" i="4" s="1"/>
  <c r="I68" i="4"/>
  <c r="J68" i="4" s="1"/>
  <c r="I67" i="4"/>
  <c r="J67" i="4" s="1"/>
  <c r="I66" i="4"/>
  <c r="J66" i="4" s="1"/>
  <c r="I65" i="4"/>
  <c r="J65" i="4" s="1"/>
  <c r="I64" i="4"/>
  <c r="J64" i="4" s="1"/>
  <c r="I63" i="4"/>
  <c r="J63" i="4" s="1"/>
  <c r="I62" i="4"/>
  <c r="J62" i="4" s="1"/>
  <c r="I61" i="4"/>
  <c r="J61" i="4" s="1"/>
  <c r="E16" i="7"/>
  <c r="E15" i="7"/>
  <c r="E14" i="7"/>
  <c r="E13" i="7"/>
  <c r="E12" i="7"/>
  <c r="E11" i="7"/>
  <c r="E10" i="7"/>
  <c r="E9" i="7"/>
  <c r="E8" i="7"/>
  <c r="E7" i="7"/>
  <c r="E6" i="7"/>
  <c r="E5" i="7"/>
  <c r="E4" i="7"/>
  <c r="C31" i="6"/>
  <c r="C25" i="6"/>
  <c r="C19" i="6"/>
  <c r="C10" i="6"/>
  <c r="B19" i="3"/>
  <c r="B10" i="3"/>
  <c r="B20" i="2"/>
  <c r="B12" i="2"/>
  <c r="B22" i="2" s="1"/>
  <c r="C32" i="6" l="1"/>
  <c r="B24" i="3"/>
  <c r="B25" i="3"/>
  <c r="C34" i="6"/>
  <c r="B22" i="3"/>
  <c r="B23" i="3"/>
</calcChain>
</file>

<file path=xl/sharedStrings.xml><?xml version="1.0" encoding="utf-8"?>
<sst xmlns="http://schemas.openxmlformats.org/spreadsheetml/2006/main" count="615" uniqueCount="424">
  <si>
    <t>Employment Contract Review Checklist</t>
  </si>
  <si>
    <t>Basic Contract Information</t>
  </si>
  <si>
    <t>☐</t>
  </si>
  <si>
    <t>Contract date and duration</t>
  </si>
  <si>
    <t>Notice period required for resignation</t>
  </si>
  <si>
    <t>Severance provisions (if any)</t>
  </si>
  <si>
    <t>Benefits continuation options</t>
  </si>
  <si>
    <t>Non-Compete Provisions</t>
  </si>
  <si>
    <t>Does your contract include a non-compete clause?</t>
  </si>
  <si>
    <t>Geographic scope of non-compete:</t>
  </si>
  <si>
    <t>Duration of non-compete restrictions:</t>
  </si>
  <si>
    <t>Definition of 'competing business':</t>
  </si>
  <si>
    <t>Does the non-compete apply during employment?</t>
  </si>
  <si>
    <t>Does the non-compete apply after employment?</t>
  </si>
  <si>
    <t>Are there any exceptions or carve-outs?</t>
  </si>
  <si>
    <t>Personal Financial Assessment Worksheet</t>
  </si>
  <si>
    <t>Net Worth Calculation</t>
  </si>
  <si>
    <t>Assets</t>
  </si>
  <si>
    <t>Checking accounts</t>
  </si>
  <si>
    <t>$</t>
  </si>
  <si>
    <t>Savings accounts</t>
  </si>
  <si>
    <t>Investment accounts (taxable)</t>
  </si>
  <si>
    <t>Retirement accounts (401k, IRA, etc.)</t>
  </si>
  <si>
    <t>Real estate equity</t>
  </si>
  <si>
    <t>Vehicle equity</t>
  </si>
  <si>
    <t>Other valuable assets</t>
  </si>
  <si>
    <t>Total Assets</t>
  </si>
  <si>
    <t>Liabilities</t>
  </si>
  <si>
    <t>Mortgage balance</t>
  </si>
  <si>
    <t>Credit card debt</t>
  </si>
  <si>
    <t>Student loans</t>
  </si>
  <si>
    <t>Auto loans</t>
  </si>
  <si>
    <t>Other debt</t>
  </si>
  <si>
    <t>Total Liabilities</t>
  </si>
  <si>
    <t>Net Worth (Assets - Liabilities)</t>
  </si>
  <si>
    <t>Emergency Fund Calculator</t>
  </si>
  <si>
    <t>Essential Monthly Personal Expenses</t>
  </si>
  <si>
    <t>Housing (mortgage/rent, utilities)</t>
  </si>
  <si>
    <t>Insurance premiums</t>
  </si>
  <si>
    <t>Minimum debt payments</t>
  </si>
  <si>
    <t>Groceries and basic necessities</t>
  </si>
  <si>
    <t>Transportation</t>
  </si>
  <si>
    <t>Healthcare costs</t>
  </si>
  <si>
    <t>Total Essential Personal Expenses</t>
  </si>
  <si>
    <t>Essential Monthly Business Expenses</t>
  </si>
  <si>
    <t>Software subscriptions</t>
  </si>
  <si>
    <t>Insurance (business liability, etc.)</t>
  </si>
  <si>
    <t>Professional services (accounting, legal)</t>
  </si>
  <si>
    <t>Marketing (minimum viable level)</t>
  </si>
  <si>
    <t>Equipment maintenance</t>
  </si>
  <si>
    <t>Other essential business costs</t>
  </si>
  <si>
    <t>Total Essential Business Expenses</t>
  </si>
  <si>
    <t>Emergency Fund Targets</t>
  </si>
  <si>
    <t>3-month emergency fund</t>
  </si>
  <si>
    <t>6-month emergency fund</t>
  </si>
  <si>
    <t>9-month emergency fund</t>
  </si>
  <si>
    <t>12-month emergency fund (recommended)</t>
  </si>
  <si>
    <t>Time Slot</t>
  </si>
  <si>
    <t>Monday</t>
  </si>
  <si>
    <t>Tuesday</t>
  </si>
  <si>
    <t>Wednesday</t>
  </si>
  <si>
    <t>Thursday</t>
  </si>
  <si>
    <t>Friday</t>
  </si>
  <si>
    <t>Saturday</t>
  </si>
  <si>
    <t>Sunday</t>
  </si>
  <si>
    <t>06:00 AM</t>
  </si>
  <si>
    <t>06:30 AM</t>
  </si>
  <si>
    <t>07:00 AM</t>
  </si>
  <si>
    <t>07:30 AM</t>
  </si>
  <si>
    <t>08:00 AM</t>
  </si>
  <si>
    <t>08:30 AM</t>
  </si>
  <si>
    <t>09:00 AM</t>
  </si>
  <si>
    <t>09:30 AM</t>
  </si>
  <si>
    <t>10:00 AM</t>
  </si>
  <si>
    <t>10:30 AM</t>
  </si>
  <si>
    <t>11:00 AM</t>
  </si>
  <si>
    <t>11:30 AM</t>
  </si>
  <si>
    <t>12:00 PM</t>
  </si>
  <si>
    <t>12:30 PM</t>
  </si>
  <si>
    <t>01:00 PM</t>
  </si>
  <si>
    <t>01:30 PM</t>
  </si>
  <si>
    <t>02:00 PM</t>
  </si>
  <si>
    <t>02:30 PM</t>
  </si>
  <si>
    <t>03:00 PM</t>
  </si>
  <si>
    <t>03:30 PM</t>
  </si>
  <si>
    <t>04:00 PM</t>
  </si>
  <si>
    <t>04:30 PM</t>
  </si>
  <si>
    <t>05:00 PM</t>
  </si>
  <si>
    <t>05:30 PM</t>
  </si>
  <si>
    <t>06:00 PM</t>
  </si>
  <si>
    <t>06:30 PM</t>
  </si>
  <si>
    <t>07:00 PM</t>
  </si>
  <si>
    <t>07:30 PM</t>
  </si>
  <si>
    <t>08:00 PM</t>
  </si>
  <si>
    <t>08:30 PM</t>
  </si>
  <si>
    <t>09:00 PM</t>
  </si>
  <si>
    <t>09:30 PM</t>
  </si>
  <si>
    <t>10:00 PM</t>
  </si>
  <si>
    <t>10:30 PM</t>
  </si>
  <si>
    <t>Phase 1: Foundation Building (6 months)</t>
  </si>
  <si>
    <t>Target Date</t>
  </si>
  <si>
    <t>Actual Date</t>
  </si>
  <si>
    <t>Status</t>
  </si>
  <si>
    <t>Notes</t>
  </si>
  <si>
    <t>Complete financial assessment</t>
  </si>
  <si>
    <t>Not Started</t>
  </si>
  <si>
    <t>Reach 3-month emergency fund</t>
  </si>
  <si>
    <t>Reach 6-month emergency fund</t>
  </si>
  <si>
    <t>Eliminate high-interest debt</t>
  </si>
  <si>
    <t>Research health insurance options</t>
  </si>
  <si>
    <t>Monthly Budget Template for Entrepreneurs</t>
  </si>
  <si>
    <t>Month/Year:</t>
  </si>
  <si>
    <t>June 2025</t>
  </si>
  <si>
    <t>Personal Income</t>
  </si>
  <si>
    <t>Business income (net)</t>
  </si>
  <si>
    <t>Part-time/consulting income</t>
  </si>
  <si>
    <t>Investment income</t>
  </si>
  <si>
    <t>Other income</t>
  </si>
  <si>
    <t>Total Personal Income</t>
  </si>
  <si>
    <t>Personal Expenses</t>
  </si>
  <si>
    <t>Fixed Expenses</t>
  </si>
  <si>
    <t xml:space="preserve">  Housing (mortgage/rent)</t>
  </si>
  <si>
    <t xml:space="preserve">  Insurance premiums</t>
  </si>
  <si>
    <t xml:space="preserve">  Loan payments</t>
  </si>
  <si>
    <t xml:space="preserve">  Utilities (average)</t>
  </si>
  <si>
    <t xml:space="preserve">  Subscriptions</t>
  </si>
  <si>
    <t>Total Fixed Expenses</t>
  </si>
  <si>
    <t>Variable Expenses</t>
  </si>
  <si>
    <t xml:space="preserve">  Groceries</t>
  </si>
  <si>
    <t xml:space="preserve">  Transportation</t>
  </si>
  <si>
    <t xml:space="preserve">  Healthcare</t>
  </si>
  <si>
    <t xml:space="preserve">  Personal care</t>
  </si>
  <si>
    <t>Total Variable Expenses</t>
  </si>
  <si>
    <t>Discretionary Expenses</t>
  </si>
  <si>
    <t xml:space="preserve">  Dining out</t>
  </si>
  <si>
    <t xml:space="preserve">  Entertainment</t>
  </si>
  <si>
    <t xml:space="preserve">  Hobbies</t>
  </si>
  <si>
    <t xml:space="preserve">  Miscellaneous</t>
  </si>
  <si>
    <t>Total Discretionary Expenses</t>
  </si>
  <si>
    <t>Total Personal Expenses</t>
  </si>
  <si>
    <t>Net Cash Flow</t>
  </si>
  <si>
    <t>Risk Assessment Matrix</t>
  </si>
  <si>
    <t>Risk Category</t>
  </si>
  <si>
    <t>Risk Description</t>
  </si>
  <si>
    <t>Probability (1-5)</t>
  </si>
  <si>
    <t>Impact (1-5)</t>
  </si>
  <si>
    <t>Risk Score</t>
  </si>
  <si>
    <t>Mitigation Strategy</t>
  </si>
  <si>
    <t>Financial</t>
  </si>
  <si>
    <t>Insufficient emergency fund</t>
  </si>
  <si>
    <t>Business income shortfall</t>
  </si>
  <si>
    <t>Unexpected personal expenses</t>
  </si>
  <si>
    <t>Health insurance gaps</t>
  </si>
  <si>
    <t>Market</t>
  </si>
  <si>
    <t>Market demand changes</t>
  </si>
  <si>
    <t>New competitors enter market</t>
  </si>
  <si>
    <t>Economic downturn</t>
  </si>
  <si>
    <t>Operational</t>
  </si>
  <si>
    <t>Key customer loss</t>
  </si>
  <si>
    <t>Equipment failure</t>
  </si>
  <si>
    <t>Quality issues</t>
  </si>
  <si>
    <t>Personal</t>
  </si>
  <si>
    <t>Health issues</t>
  </si>
  <si>
    <t>Family emergencies</t>
  </si>
  <si>
    <t>Burnout/exhaustion</t>
  </si>
  <si>
    <t>Goal Setting and Milestone Tracker</t>
  </si>
  <si>
    <t>Annual Goals (2025)</t>
  </si>
  <si>
    <t>Financial Goals</t>
  </si>
  <si>
    <t>Goal</t>
  </si>
  <si>
    <t>Target</t>
  </si>
  <si>
    <t>Q1 Progress</t>
  </si>
  <si>
    <t>Q2 Progress</t>
  </si>
  <si>
    <t>Q3 Progress</t>
  </si>
  <si>
    <t>Q4 Progress</t>
  </si>
  <si>
    <t>Emergency fund target</t>
  </si>
  <si>
    <t>Business revenue target</t>
  </si>
  <si>
    <t>Personal income target</t>
  </si>
  <si>
    <t>Debt reduction target</t>
  </si>
  <si>
    <t>Business Development Goals</t>
  </si>
  <si>
    <t>Customer acquisition target</t>
  </si>
  <si>
    <t>Product/service launches</t>
  </si>
  <si>
    <t>Market expansion goals</t>
  </si>
  <si>
    <t>Operational milestones</t>
  </si>
  <si>
    <t>Professional Development Goals</t>
  </si>
  <si>
    <t>Skills to develop</t>
  </si>
  <si>
    <t>Certifications to obtain</t>
  </si>
  <si>
    <t>Network expansion targets</t>
  </si>
  <si>
    <t>Learning objectives</t>
  </si>
  <si>
    <t xml:space="preserve">Notes </t>
  </si>
  <si>
    <t>Time Audit and Planning Template</t>
  </si>
  <si>
    <t>Instructions:</t>
  </si>
  <si>
    <t>This template helps you analyze how you currently spend your time and identify</t>
  </si>
  <si>
    <t>opportunities to create space for entrepreneurial activities. Complete the time</t>
  </si>
  <si>
    <t>audit for one full week, then use the analysis sections to develop your time</t>
  </si>
  <si>
    <t>optimization plan.</t>
  </si>
  <si>
    <t>Category</t>
  </si>
  <si>
    <t>Code</t>
  </si>
  <si>
    <t>Description</t>
  </si>
  <si>
    <t>Work</t>
  </si>
  <si>
    <t>W</t>
  </si>
  <si>
    <t>Employment activities</t>
  </si>
  <si>
    <t>Business</t>
  </si>
  <si>
    <t>B</t>
  </si>
  <si>
    <t>Business development activities</t>
  </si>
  <si>
    <t>Personal Care</t>
  </si>
  <si>
    <t>P</t>
  </si>
  <si>
    <t>Meals, exercise, hygiene</t>
  </si>
  <si>
    <t>Family/Relationships</t>
  </si>
  <si>
    <t>F</t>
  </si>
  <si>
    <t>Time with family and friends</t>
  </si>
  <si>
    <t>Household</t>
  </si>
  <si>
    <t>H</t>
  </si>
  <si>
    <t>Household tasks and chores</t>
  </si>
  <si>
    <t>Commuting</t>
  </si>
  <si>
    <t>C</t>
  </si>
  <si>
    <t>Transportation time</t>
  </si>
  <si>
    <t>Entertainment</t>
  </si>
  <si>
    <t>E</t>
  </si>
  <si>
    <t>Leisure and entertainment</t>
  </si>
  <si>
    <t>Sleep</t>
  </si>
  <si>
    <t>S</t>
  </si>
  <si>
    <t>Sleep and rest</t>
  </si>
  <si>
    <t>Other</t>
  </si>
  <si>
    <t>O</t>
  </si>
  <si>
    <t>Other activities (specify in notes)</t>
  </si>
  <si>
    <t>Category Definitions:</t>
  </si>
  <si>
    <t>Weekly Time Summary</t>
  </si>
  <si>
    <t>Mon</t>
  </si>
  <si>
    <t>Tue</t>
  </si>
  <si>
    <t>Wed</t>
  </si>
  <si>
    <t>Thu</t>
  </si>
  <si>
    <t>Fri</t>
  </si>
  <si>
    <t>Sat</t>
  </si>
  <si>
    <t>Sun</t>
  </si>
  <si>
    <t>Total Hours</t>
  </si>
  <si>
    <t>Percentage</t>
  </si>
  <si>
    <t>Work (W)</t>
  </si>
  <si>
    <t>Business (B)</t>
  </si>
  <si>
    <t>Personal Care (P)</t>
  </si>
  <si>
    <t>Family/Relationships (F)</t>
  </si>
  <si>
    <t>Household (H)</t>
  </si>
  <si>
    <t>Commuting (C)</t>
  </si>
  <si>
    <t>Entertainment (E)</t>
  </si>
  <si>
    <t>Sleep (S)</t>
  </si>
  <si>
    <t>Other (O)</t>
  </si>
  <si>
    <t>TOTAL</t>
  </si>
  <si>
    <t>24</t>
  </si>
  <si>
    <t>168</t>
  </si>
  <si>
    <t>100%</t>
  </si>
  <si>
    <t>Time Analysis and Insights</t>
  </si>
  <si>
    <t>Current Time Allocation Analysis</t>
  </si>
  <si>
    <t>Largest Time Categories:</t>
  </si>
  <si>
    <t>1. _________________________ (_____ hours, ____%)</t>
  </si>
  <si>
    <t>2. _________________________ (_____ hours, ____%)</t>
  </si>
  <si>
    <t>3. _________________________ (_____ hours, ____%)</t>
  </si>
  <si>
    <t>Time Optimization Opportunities:</t>
  </si>
  <si>
    <t>1. _________________________________________________</t>
  </si>
  <si>
    <t>2. _________________________________________________</t>
  </si>
  <si>
    <t>3. _________________________________________________</t>
  </si>
  <si>
    <t>Energy and Productivity Patterns</t>
  </si>
  <si>
    <t>Peak Energy Times: _________________________________</t>
  </si>
  <si>
    <t>Low Energy Times: __________________________________</t>
  </si>
  <si>
    <t>Best Times for Creative/Strategic Work: ____________</t>
  </si>
  <si>
    <t>Best Times for Administrative Tasks: _______________</t>
  </si>
  <si>
    <t>Time Optimization Plan</t>
  </si>
  <si>
    <t>Goals and Priorities</t>
  </si>
  <si>
    <t>Primary Business Development Goals:</t>
  </si>
  <si>
    <t>Time Allocation Targets:</t>
  </si>
  <si>
    <t>Business Development: _____ hours per week (____% of available time)</t>
  </si>
  <si>
    <t>Market Research: _____ hours per week</t>
  </si>
  <si>
    <t>Product/Service Development: _____ hours per week</t>
  </si>
  <si>
    <t>Marketing/Customer Acquisition: _____ hours per week</t>
  </si>
  <si>
    <t>Administrative Tasks: _____ hours per week</t>
  </si>
  <si>
    <t>Weekly Schedule Design</t>
  </si>
  <si>
    <t>Implementation Strategy</t>
  </si>
  <si>
    <t>Changes to Make This Week:</t>
  </si>
  <si>
    <t>Habits to Develop:</t>
  </si>
  <si>
    <t>Habits to Eliminate:</t>
  </si>
  <si>
    <t>Tools and Systems to Implement:</t>
  </si>
  <si>
    <t>☐ Time blocking calendar</t>
  </si>
  <si>
    <t>☐ Task management app</t>
  </si>
  <si>
    <t>☐ Time tracking software</t>
  </si>
  <si>
    <t>☐ Productivity techniques (specify: ________________)</t>
  </si>
  <si>
    <t>☐ Other: ___________________________________________</t>
  </si>
  <si>
    <t>Accountability and Review</t>
  </si>
  <si>
    <t>Weekly Review Questions:</t>
  </si>
  <si>
    <t>1. Did I stick to my planned business time blocks?</t>
  </si>
  <si>
    <t>2. What prevented me from following my schedule?</t>
  </si>
  <si>
    <t>3. What adjustments do I need to make next week?</t>
  </si>
  <si>
    <t>4. How productive was my business development time?</t>
  </si>
  <si>
    <t>5. What can I do to improve efficiency?</t>
  </si>
  <si>
    <t>Monthly Review Schedule:</t>
  </si>
  <si>
    <t>Review Date: _______________</t>
  </si>
  <si>
    <t>Adjustments Needed: _________________________________</t>
  </si>
  <si>
    <t>New Goals: __________________________________________</t>
  </si>
  <si>
    <t>Success Metrics:</t>
  </si>
  <si>
    <t>Hours per week spent on business development: Target _____, Actual _____</t>
  </si>
  <si>
    <t>Productivity rating (1-10): Target _____, Actual _____</t>
  </si>
  <si>
    <t>Key milestones achieved: ____________________________</t>
  </si>
  <si>
    <t>Non-Disclosure and Confidentiality</t>
  </si>
  <si>
    <t>Intellectual Property Clauses</t>
  </si>
  <si>
    <t>Outside Employment and Moonlighting</t>
  </si>
  <si>
    <t>Conflict of Interest Provisions</t>
  </si>
  <si>
    <t>Action Items Based on Review</t>
  </si>
  <si>
    <t xml:space="preserve">Does your contract include confidentiality provisions? </t>
  </si>
  <si>
    <t xml:space="preserve">What information is considered confidential? </t>
  </si>
  <si>
    <t>Duration of confidentiality obligations:</t>
  </si>
  <si>
    <t xml:space="preserve">Are there exceptions for general industry knowledge? </t>
  </si>
  <si>
    <t xml:space="preserve">Are client lists specifically protected? </t>
  </si>
  <si>
    <t xml:space="preserve">Does your contract assign inventions to your employer? </t>
  </si>
  <si>
    <t>Scope of intellectual property assignment</t>
  </si>
  <si>
    <t xml:space="preserve">Does the assignment apply to work-related inventions only? </t>
  </si>
  <si>
    <t xml:space="preserve">Does the assignment apply to all inventions during employment? </t>
  </si>
  <si>
    <t xml:space="preserve">Are there any exceptions for personal inventions? </t>
  </si>
  <si>
    <t xml:space="preserve">Does the contract include "trailer clauses" for post-employment inventions? </t>
  </si>
  <si>
    <t xml:space="preserve">Does your contract prohibit outside employment? </t>
  </si>
  <si>
    <t xml:space="preserve">Does your contract require disclosure of outside activities? </t>
  </si>
  <si>
    <t xml:space="preserve">Does your contract require approval for outside activities? </t>
  </si>
  <si>
    <t>Are there specific exceptions for certain types of activities?</t>
  </si>
  <si>
    <t xml:space="preserve">Are volunteer activities restricted? </t>
  </si>
  <si>
    <t>Does your contract define conflicts of interest?</t>
  </si>
  <si>
    <t xml:space="preserve">Are you prohibited from serving competitors' clients? </t>
  </si>
  <si>
    <t xml:space="preserve">Are you prohibited from soliciting your employer's clients? </t>
  </si>
  <si>
    <t xml:space="preserve">Are you prohibited from soliciting your employer's employees? </t>
  </si>
  <si>
    <t>Schedule consultation with employment attorney (if needed)</t>
  </si>
  <si>
    <t>Identify potential conflicts with business plans</t>
  </si>
  <si>
    <t>Develop compliance strategy for entrepreneurial activities</t>
  </si>
  <si>
    <t>Plan timing for contract negotiations (if appropriate)</t>
  </si>
  <si>
    <t>Framework for Strategic Transistion to Entrepreneurship</t>
  </si>
  <si>
    <t xml:space="preserve"> Complete these assessments and planning tools as you progress through your entrepreneurial transition to ensure systematic preparation and execution.</t>
  </si>
  <si>
    <t>The following worksheets and templates are designed to help you implement the strategies and frameworks.</t>
  </si>
  <si>
    <t>Financial Milestone</t>
  </si>
  <si>
    <t>Legal and Contractual Milestone</t>
  </si>
  <si>
    <t xml:space="preserve">Complete contract review </t>
  </si>
  <si>
    <t xml:space="preserve">Consult with attorney if needed </t>
  </si>
  <si>
    <t xml:space="preserve">Resolve any contract concerns </t>
  </si>
  <si>
    <t>Business Development Milestone</t>
  </si>
  <si>
    <t xml:space="preserve">Establish business legal structure </t>
  </si>
  <si>
    <t xml:space="preserve">Obtain necessary licenses </t>
  </si>
  <si>
    <t xml:space="preserve">Set up business banking </t>
  </si>
  <si>
    <t xml:space="preserve">Reach 9-month emergency fund </t>
  </si>
  <si>
    <t xml:space="preserve">Finalize health insurance transition plan </t>
  </si>
  <si>
    <t>Establish business credit relationships</t>
  </si>
  <si>
    <t xml:space="preserve">Transition Timeline Planner </t>
  </si>
  <si>
    <t xml:space="preserve">Reach 12-month emergency fund </t>
  </si>
  <si>
    <t xml:space="preserve">Complete insurance transition preparations </t>
  </si>
  <si>
    <t>Transistion Milestone</t>
  </si>
  <si>
    <t xml:space="preserve">Submit resignation </t>
  </si>
  <si>
    <t xml:space="preserve">Complete employment responsibilities </t>
  </si>
  <si>
    <t>Activate health insurance</t>
  </si>
  <si>
    <t xml:space="preserve">Transition to full-time business focus </t>
  </si>
  <si>
    <t xml:space="preserve">Scale business operations </t>
  </si>
  <si>
    <t>Success Metrics</t>
  </si>
  <si>
    <t>Monthly business income target:</t>
  </si>
  <si>
    <t xml:space="preserve">Customer acquisition target: </t>
  </si>
  <si>
    <t xml:space="preserve"> Revenue growth target: </t>
  </si>
  <si>
    <t xml:space="preserve">Emergency fund preservation target: </t>
  </si>
  <si>
    <t xml:space="preserve">   %</t>
  </si>
  <si>
    <t xml:space="preserve">   $</t>
  </si>
  <si>
    <t xml:space="preserve"> _____months remaining </t>
  </si>
  <si>
    <t xml:space="preserve">Action Items </t>
  </si>
  <si>
    <t>Adjust budget categories based on actual results</t>
  </si>
  <si>
    <t>Identify expense optimization opportunities</t>
  </si>
  <si>
    <t>Plan income growth strategies</t>
  </si>
  <si>
    <t>Review emergency fund adequacy</t>
  </si>
  <si>
    <t>Success Celebration</t>
  </si>
  <si>
    <t>Progress Review</t>
  </si>
  <si>
    <t>Adjustments for Next Quarter</t>
  </si>
  <si>
    <t>Goals achieved</t>
  </si>
  <si>
    <t>Goals partially achieved</t>
  </si>
  <si>
    <t>Goals not achieved</t>
  </si>
  <si>
    <t>Obstacles encountered</t>
  </si>
  <si>
    <t xml:space="preserve"> Lessons learned</t>
  </si>
  <si>
    <t>Goal modifications</t>
  </si>
  <si>
    <t xml:space="preserve"> Strategy changes</t>
  </si>
  <si>
    <t>Resource needs</t>
  </si>
  <si>
    <t>Support required</t>
  </si>
  <si>
    <t>Document your achievements and celebrate milestones to maintain motivation</t>
  </si>
  <si>
    <t>Major milestones achieved</t>
  </si>
  <si>
    <t>Personal growth areas</t>
  </si>
  <si>
    <t>Business accomplishments</t>
  </si>
  <si>
    <t>Relationships strengthened</t>
  </si>
  <si>
    <t>Skills developed</t>
  </si>
  <si>
    <t>Conduct market research and customer interviews</t>
  </si>
  <si>
    <t>Define target customer personas</t>
  </si>
  <si>
    <t>Identify core problem to solve</t>
  </si>
  <si>
    <t>Create initial product concept</t>
  </si>
  <si>
    <t>Develop value proposition canvas</t>
  </si>
  <si>
    <t>Create basic wireframes/mockups</t>
  </si>
  <si>
    <t>Validate problem-solution fit</t>
  </si>
  <si>
    <t>Set MVP development budget</t>
  </si>
  <si>
    <t>Finalize MVP feature specifications</t>
  </si>
  <si>
    <t>Choose technology stack and tools</t>
  </si>
  <si>
    <t>Set up development environment</t>
  </si>
  <si>
    <t>Create MVP development roadmap</t>
  </si>
  <si>
    <t>Build MVP core features (iterative sprints)</t>
  </si>
  <si>
    <t>Conduct user testing sessions</t>
  </si>
  <si>
    <t>Gather and analyze user feedback</t>
  </si>
  <si>
    <t>Iterate on MVP based on feedback</t>
  </si>
  <si>
    <t>Prepare MVP for beta launch</t>
  </si>
  <si>
    <t>Identify potential early adopters</t>
  </si>
  <si>
    <t>Build landing page and marketing materials</t>
  </si>
  <si>
    <t>Establish feedback collection systems</t>
  </si>
  <si>
    <t>Build professional network</t>
  </si>
  <si>
    <t>Create pricing strategy</t>
  </si>
  <si>
    <t>Phase 2: MVP Development &amp; Validation (6 months)</t>
  </si>
  <si>
    <t>Phase 3: MVP Launch &amp; Scaling and Preparation (6 months)</t>
  </si>
  <si>
    <t>Track MVP development costs</t>
  </si>
  <si>
    <t>Plan revenue projections</t>
  </si>
  <si>
    <t>Launch MVP to beta users</t>
  </si>
  <si>
    <t>Monitor key performance metrics</t>
  </si>
  <si>
    <t>Collect and analyze user data</t>
  </si>
  <si>
    <t>Implement critical improvements</t>
  </si>
  <si>
    <t>Develop product roadmap for v2</t>
  </si>
  <si>
    <t>Create user onboarding process</t>
  </si>
  <si>
    <t>Establish customer support systems</t>
  </si>
  <si>
    <t>Prepare for wider market launch</t>
  </si>
  <si>
    <t>Acquire first paying customers</t>
  </si>
  <si>
    <t>Generate initial revenue from MVP</t>
  </si>
  <si>
    <t>Refine service/product delivery</t>
  </si>
  <si>
    <t>Build recurring revenue streams</t>
  </si>
  <si>
    <t>Establish operational systems</t>
  </si>
  <si>
    <t>Develop marketing and sales processes</t>
  </si>
  <si>
    <t>Phase 4: Full launch &amp; Transistion Execution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</si>
</sst>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0"/>
      <name val="Calibri"/>
    </font>
    <font>
      <sz val="12"/>
      <color theme="1"/>
      <name val="Times New Roman"/>
      <family val="1"/>
    </font>
    <font>
      <b/>
      <sz val="12"/>
      <color rgb="FFFFFFFF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mbria"/>
      <family val="1"/>
    </font>
    <font>
      <b/>
      <sz val="18"/>
      <color rgb="FF2F5597"/>
      <name val="Arial"/>
      <family val="2"/>
    </font>
    <font>
      <b/>
      <sz val="11"/>
      <name val="Calibri"/>
      <family val="2"/>
    </font>
    <font>
      <sz val="10"/>
      <name val="Calibri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2F3"/>
        <bgColor rgb="FFD9E2F3"/>
      </patternFill>
    </fill>
    <fill>
      <patternFill patternType="solid">
        <fgColor rgb="FF4F81BD"/>
        <bgColor rgb="FF4F81BD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4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5" borderId="1" xfId="0" applyFont="1" applyFill="1" applyBorder="1"/>
    <xf numFmtId="0" fontId="12" fillId="0" borderId="0" xfId="0" applyFont="1"/>
    <xf numFmtId="164" fontId="0" fillId="0" borderId="1" xfId="0" applyNumberFormat="1" applyBorder="1"/>
    <xf numFmtId="0" fontId="4" fillId="0" borderId="1" xfId="0" applyFont="1" applyBorder="1"/>
    <xf numFmtId="164" fontId="4" fillId="0" borderId="1" xfId="0" applyNumberFormat="1" applyFont="1" applyBorder="1"/>
    <xf numFmtId="0" fontId="3" fillId="3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6" fillId="0" borderId="1" xfId="0" applyFont="1" applyBorder="1"/>
    <xf numFmtId="0" fontId="13" fillId="0" borderId="0" xfId="0" applyFont="1" applyAlignment="1">
      <alignment vertical="center"/>
    </xf>
    <xf numFmtId="0" fontId="15" fillId="3" borderId="1" xfId="0" applyFont="1" applyFill="1" applyBorder="1"/>
    <xf numFmtId="49" fontId="0" fillId="0" borderId="1" xfId="0" applyNumberFormat="1" applyBorder="1" applyAlignment="1">
      <alignment wrapText="1"/>
    </xf>
    <xf numFmtId="49" fontId="0" fillId="0" borderId="0" xfId="0" applyNumberFormat="1" applyAlignment="1">
      <alignment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8" fillId="2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0" xfId="0"/>
    <xf numFmtId="0" fontId="2" fillId="2" borderId="1" xfId="0" applyFont="1" applyFill="1" applyBorder="1"/>
    <xf numFmtId="0" fontId="9" fillId="0" borderId="0" xfId="0" applyFont="1"/>
    <xf numFmtId="0" fontId="8" fillId="2" borderId="1" xfId="0" applyFont="1" applyFill="1" applyBorder="1" applyAlignment="1">
      <alignment horizontal="left"/>
    </xf>
    <xf numFmtId="0" fontId="3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16" fillId="0" borderId="1" xfId="0" applyFont="1" applyBorder="1"/>
    <xf numFmtId="0" fontId="3" fillId="6" borderId="1" xfId="0" applyFont="1" applyFill="1" applyBorder="1"/>
    <xf numFmtId="0" fontId="17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786F-CEE2-4D3F-8990-DB03D88487DD}">
  <dimension ref="A1:L3"/>
  <sheetViews>
    <sheetView showGridLines="0" workbookViewId="0">
      <selection activeCell="D10" sqref="D10"/>
    </sheetView>
  </sheetViews>
  <sheetFormatPr defaultRowHeight="15" x14ac:dyDescent="0.25"/>
  <cols>
    <col min="6" max="6" width="20.7109375" customWidth="1"/>
  </cols>
  <sheetData>
    <row r="1" spans="1:12" ht="23.25" x14ac:dyDescent="0.25">
      <c r="A1" s="22" t="s">
        <v>328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A2" s="18" t="s">
        <v>330</v>
      </c>
    </row>
    <row r="3" spans="1:12" x14ac:dyDescent="0.25">
      <c r="A3" t="s">
        <v>329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opLeftCell="A21" workbookViewId="0">
      <selection activeCell="G16" sqref="G16"/>
    </sheetView>
  </sheetViews>
  <sheetFormatPr defaultRowHeight="15" x14ac:dyDescent="0.25"/>
  <cols>
    <col min="1" max="1" width="5" customWidth="1"/>
    <col min="2" max="2" width="73.42578125" customWidth="1"/>
    <col min="3" max="3" width="20" customWidth="1"/>
  </cols>
  <sheetData>
    <row r="1" spans="1:3" ht="18.75" x14ac:dyDescent="0.3">
      <c r="A1" s="26" t="s">
        <v>0</v>
      </c>
      <c r="B1" s="27"/>
      <c r="C1" s="27"/>
    </row>
    <row r="3" spans="1:3" ht="15.75" x14ac:dyDescent="0.25">
      <c r="A3" s="28" t="s">
        <v>1</v>
      </c>
      <c r="B3" s="25"/>
      <c r="C3" s="25"/>
    </row>
    <row r="4" spans="1:3" x14ac:dyDescent="0.25">
      <c r="A4" s="5" t="s">
        <v>2</v>
      </c>
      <c r="B4" s="5" t="s">
        <v>3</v>
      </c>
      <c r="C4" s="5"/>
    </row>
    <row r="5" spans="1:3" x14ac:dyDescent="0.25">
      <c r="A5" s="5" t="s">
        <v>2</v>
      </c>
      <c r="B5" s="5" t="s">
        <v>4</v>
      </c>
      <c r="C5" s="5"/>
    </row>
    <row r="6" spans="1:3" x14ac:dyDescent="0.25">
      <c r="A6" s="5" t="s">
        <v>2</v>
      </c>
      <c r="B6" s="5" t="s">
        <v>5</v>
      </c>
      <c r="C6" s="5"/>
    </row>
    <row r="7" spans="1:3" x14ac:dyDescent="0.25">
      <c r="A7" s="5" t="s">
        <v>2</v>
      </c>
      <c r="B7" s="5" t="s">
        <v>6</v>
      </c>
      <c r="C7" s="5"/>
    </row>
    <row r="8" spans="1:3" x14ac:dyDescent="0.25">
      <c r="A8" s="5"/>
      <c r="B8" s="5"/>
      <c r="C8" s="5"/>
    </row>
    <row r="9" spans="1:3" ht="15.75" x14ac:dyDescent="0.25">
      <c r="A9" s="28" t="s">
        <v>7</v>
      </c>
      <c r="B9" s="25"/>
      <c r="C9" s="25"/>
    </row>
    <row r="10" spans="1:3" x14ac:dyDescent="0.25">
      <c r="A10" s="5" t="s">
        <v>2</v>
      </c>
      <c r="B10" s="5" t="s">
        <v>8</v>
      </c>
      <c r="C10" s="5"/>
    </row>
    <row r="11" spans="1:3" x14ac:dyDescent="0.25">
      <c r="A11" s="5" t="s">
        <v>2</v>
      </c>
      <c r="B11" s="5" t="s">
        <v>9</v>
      </c>
      <c r="C11" s="5"/>
    </row>
    <row r="12" spans="1:3" x14ac:dyDescent="0.25">
      <c r="A12" s="5" t="s">
        <v>2</v>
      </c>
      <c r="B12" s="5" t="s">
        <v>10</v>
      </c>
      <c r="C12" s="5"/>
    </row>
    <row r="13" spans="1:3" x14ac:dyDescent="0.25">
      <c r="A13" s="5" t="s">
        <v>2</v>
      </c>
      <c r="B13" s="5" t="s">
        <v>11</v>
      </c>
      <c r="C13" s="5"/>
    </row>
    <row r="14" spans="1:3" x14ac:dyDescent="0.25">
      <c r="A14" s="5" t="s">
        <v>2</v>
      </c>
      <c r="B14" s="5" t="s">
        <v>12</v>
      </c>
      <c r="C14" s="5"/>
    </row>
    <row r="15" spans="1:3" x14ac:dyDescent="0.25">
      <c r="A15" s="5" t="s">
        <v>2</v>
      </c>
      <c r="B15" s="5" t="s">
        <v>13</v>
      </c>
      <c r="C15" s="5"/>
    </row>
    <row r="16" spans="1:3" x14ac:dyDescent="0.25">
      <c r="A16" s="5" t="s">
        <v>2</v>
      </c>
      <c r="B16" s="5" t="s">
        <v>14</v>
      </c>
      <c r="C16" s="5"/>
    </row>
    <row r="18" spans="1:3" ht="15.75" x14ac:dyDescent="0.25">
      <c r="A18" s="24" t="s">
        <v>299</v>
      </c>
      <c r="B18" s="25"/>
      <c r="C18" s="25"/>
    </row>
    <row r="19" spans="1:3" x14ac:dyDescent="0.25">
      <c r="A19" s="5" t="s">
        <v>2</v>
      </c>
      <c r="B19" s="5" t="s">
        <v>304</v>
      </c>
      <c r="C19" s="5"/>
    </row>
    <row r="20" spans="1:3" x14ac:dyDescent="0.25">
      <c r="A20" s="5" t="s">
        <v>2</v>
      </c>
      <c r="B20" s="5" t="s">
        <v>305</v>
      </c>
      <c r="C20" s="5"/>
    </row>
    <row r="21" spans="1:3" x14ac:dyDescent="0.25">
      <c r="A21" s="5" t="s">
        <v>2</v>
      </c>
      <c r="B21" s="5" t="s">
        <v>306</v>
      </c>
      <c r="C21" s="5"/>
    </row>
    <row r="22" spans="1:3" x14ac:dyDescent="0.25">
      <c r="A22" s="5" t="s">
        <v>2</v>
      </c>
      <c r="B22" s="5" t="s">
        <v>307</v>
      </c>
      <c r="C22" s="5"/>
    </row>
    <row r="23" spans="1:3" x14ac:dyDescent="0.25">
      <c r="A23" s="5" t="s">
        <v>2</v>
      </c>
      <c r="B23" s="5" t="s">
        <v>308</v>
      </c>
      <c r="C23" s="5"/>
    </row>
    <row r="25" spans="1:3" ht="15.75" x14ac:dyDescent="0.25">
      <c r="A25" s="24" t="s">
        <v>300</v>
      </c>
      <c r="B25" s="25"/>
      <c r="C25" s="25"/>
    </row>
    <row r="26" spans="1:3" x14ac:dyDescent="0.25">
      <c r="A26" s="5" t="s">
        <v>2</v>
      </c>
      <c r="B26" s="5" t="s">
        <v>309</v>
      </c>
      <c r="C26" s="5"/>
    </row>
    <row r="27" spans="1:3" x14ac:dyDescent="0.25">
      <c r="A27" s="5" t="s">
        <v>2</v>
      </c>
      <c r="B27" s="5" t="s">
        <v>310</v>
      </c>
      <c r="C27" s="5"/>
    </row>
    <row r="28" spans="1:3" x14ac:dyDescent="0.25">
      <c r="A28" s="5" t="s">
        <v>2</v>
      </c>
      <c r="B28" s="5" t="s">
        <v>311</v>
      </c>
      <c r="C28" s="5"/>
    </row>
    <row r="29" spans="1:3" x14ac:dyDescent="0.25">
      <c r="A29" s="5" t="s">
        <v>2</v>
      </c>
      <c r="B29" s="5" t="s">
        <v>312</v>
      </c>
      <c r="C29" s="5"/>
    </row>
    <row r="30" spans="1:3" x14ac:dyDescent="0.25">
      <c r="A30" s="5" t="s">
        <v>2</v>
      </c>
      <c r="B30" s="5" t="s">
        <v>313</v>
      </c>
      <c r="C30" s="5"/>
    </row>
    <row r="31" spans="1:3" x14ac:dyDescent="0.25">
      <c r="A31" s="5" t="s">
        <v>2</v>
      </c>
      <c r="B31" s="5" t="s">
        <v>314</v>
      </c>
      <c r="C31" s="5"/>
    </row>
    <row r="33" spans="1:3" ht="15.75" x14ac:dyDescent="0.25">
      <c r="A33" s="24" t="s">
        <v>301</v>
      </c>
      <c r="B33" s="25"/>
      <c r="C33" s="25"/>
    </row>
    <row r="34" spans="1:3" x14ac:dyDescent="0.25">
      <c r="A34" s="5" t="s">
        <v>2</v>
      </c>
      <c r="B34" s="5" t="s">
        <v>315</v>
      </c>
      <c r="C34" s="5"/>
    </row>
    <row r="35" spans="1:3" x14ac:dyDescent="0.25">
      <c r="A35" s="5" t="s">
        <v>2</v>
      </c>
      <c r="B35" s="5" t="s">
        <v>316</v>
      </c>
      <c r="C35" s="5"/>
    </row>
    <row r="36" spans="1:3" x14ac:dyDescent="0.25">
      <c r="A36" s="5" t="s">
        <v>2</v>
      </c>
      <c r="B36" s="5" t="s">
        <v>317</v>
      </c>
      <c r="C36" s="5"/>
    </row>
    <row r="37" spans="1:3" x14ac:dyDescent="0.25">
      <c r="A37" s="5" t="s">
        <v>2</v>
      </c>
      <c r="B37" s="5" t="s">
        <v>318</v>
      </c>
      <c r="C37" s="5"/>
    </row>
    <row r="38" spans="1:3" x14ac:dyDescent="0.25">
      <c r="A38" s="5" t="s">
        <v>2</v>
      </c>
      <c r="B38" s="5" t="s">
        <v>319</v>
      </c>
      <c r="C38" s="5"/>
    </row>
    <row r="40" spans="1:3" ht="15.75" x14ac:dyDescent="0.25">
      <c r="A40" s="24" t="s">
        <v>302</v>
      </c>
      <c r="B40" s="25"/>
      <c r="C40" s="25"/>
    </row>
    <row r="41" spans="1:3" x14ac:dyDescent="0.25">
      <c r="A41" s="5" t="s">
        <v>2</v>
      </c>
      <c r="B41" s="5" t="s">
        <v>320</v>
      </c>
      <c r="C41" s="5"/>
    </row>
    <row r="42" spans="1:3" x14ac:dyDescent="0.25">
      <c r="A42" s="5" t="s">
        <v>2</v>
      </c>
      <c r="B42" s="5" t="s">
        <v>321</v>
      </c>
      <c r="C42" s="5"/>
    </row>
    <row r="43" spans="1:3" x14ac:dyDescent="0.25">
      <c r="A43" s="5" t="s">
        <v>2</v>
      </c>
      <c r="B43" s="5" t="s">
        <v>322</v>
      </c>
      <c r="C43" s="5"/>
    </row>
    <row r="44" spans="1:3" x14ac:dyDescent="0.25">
      <c r="A44" s="5" t="s">
        <v>2</v>
      </c>
      <c r="B44" s="5" t="s">
        <v>323</v>
      </c>
      <c r="C44" s="5"/>
    </row>
    <row r="46" spans="1:3" ht="15.75" x14ac:dyDescent="0.25">
      <c r="A46" s="24" t="s">
        <v>303</v>
      </c>
      <c r="B46" s="25"/>
      <c r="C46" s="25"/>
    </row>
    <row r="47" spans="1:3" x14ac:dyDescent="0.25">
      <c r="A47" s="5" t="s">
        <v>2</v>
      </c>
      <c r="B47" s="5" t="s">
        <v>324</v>
      </c>
      <c r="C47" s="5"/>
    </row>
    <row r="48" spans="1:3" x14ac:dyDescent="0.25">
      <c r="A48" s="5" t="s">
        <v>2</v>
      </c>
      <c r="B48" s="5" t="s">
        <v>325</v>
      </c>
      <c r="C48" s="5"/>
    </row>
    <row r="49" spans="1:3" x14ac:dyDescent="0.25">
      <c r="A49" s="5" t="s">
        <v>2</v>
      </c>
      <c r="B49" s="5" t="s">
        <v>326</v>
      </c>
      <c r="C49" s="5"/>
    </row>
    <row r="50" spans="1:3" x14ac:dyDescent="0.25">
      <c r="A50" s="5" t="s">
        <v>2</v>
      </c>
      <c r="B50" s="5" t="s">
        <v>327</v>
      </c>
      <c r="C50" s="5"/>
    </row>
  </sheetData>
  <mergeCells count="8">
    <mergeCell ref="A25:C25"/>
    <mergeCell ref="A33:C33"/>
    <mergeCell ref="A40:C40"/>
    <mergeCell ref="A46:C46"/>
    <mergeCell ref="A1:C1"/>
    <mergeCell ref="A9:C9"/>
    <mergeCell ref="A3:C3"/>
    <mergeCell ref="A18:C18"/>
  </mergeCells>
  <dataValidations count="1">
    <dataValidation type="list" allowBlank="1" sqref="C10 C14:C15 C19 C23 C26 C30 C34 C38 C41 C47" xr:uid="{00000000-0002-0000-00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G20" sqref="G20"/>
    </sheetView>
  </sheetViews>
  <sheetFormatPr defaultRowHeight="15" x14ac:dyDescent="0.25"/>
  <cols>
    <col min="1" max="1" width="35" customWidth="1"/>
    <col min="2" max="2" width="15" customWidth="1"/>
  </cols>
  <sheetData>
    <row r="1" spans="1:2" ht="18.75" x14ac:dyDescent="0.3">
      <c r="A1" s="26" t="s">
        <v>15</v>
      </c>
      <c r="B1" s="27"/>
    </row>
    <row r="3" spans="1:2" ht="15.75" x14ac:dyDescent="0.25">
      <c r="A3" s="28" t="s">
        <v>16</v>
      </c>
      <c r="B3" s="25"/>
    </row>
    <row r="4" spans="1:2" x14ac:dyDescent="0.25">
      <c r="A4" s="14" t="s">
        <v>17</v>
      </c>
      <c r="B4" s="14"/>
    </row>
    <row r="5" spans="1:2" x14ac:dyDescent="0.25">
      <c r="A5" s="5" t="s">
        <v>18</v>
      </c>
      <c r="B5" s="11">
        <v>0</v>
      </c>
    </row>
    <row r="6" spans="1:2" x14ac:dyDescent="0.25">
      <c r="A6" s="5" t="s">
        <v>20</v>
      </c>
      <c r="B6" s="11">
        <v>0</v>
      </c>
    </row>
    <row r="7" spans="1:2" x14ac:dyDescent="0.25">
      <c r="A7" s="5" t="s">
        <v>21</v>
      </c>
      <c r="B7" s="11">
        <v>0</v>
      </c>
    </row>
    <row r="8" spans="1:2" x14ac:dyDescent="0.25">
      <c r="A8" s="5" t="s">
        <v>22</v>
      </c>
      <c r="B8" s="11">
        <v>0</v>
      </c>
    </row>
    <row r="9" spans="1:2" x14ac:dyDescent="0.25">
      <c r="A9" s="5" t="s">
        <v>23</v>
      </c>
      <c r="B9" s="11">
        <v>0</v>
      </c>
    </row>
    <row r="10" spans="1:2" x14ac:dyDescent="0.25">
      <c r="A10" s="5" t="s">
        <v>24</v>
      </c>
      <c r="B10" s="11">
        <v>0</v>
      </c>
    </row>
    <row r="11" spans="1:2" x14ac:dyDescent="0.25">
      <c r="A11" s="5" t="s">
        <v>25</v>
      </c>
      <c r="B11" s="11">
        <v>0</v>
      </c>
    </row>
    <row r="12" spans="1:2" x14ac:dyDescent="0.25">
      <c r="A12" s="12" t="s">
        <v>26</v>
      </c>
      <c r="B12" s="13">
        <f>SUM(B5:B11)</f>
        <v>0</v>
      </c>
    </row>
    <row r="13" spans="1:2" x14ac:dyDescent="0.25">
      <c r="A13" s="5"/>
      <c r="B13" s="5"/>
    </row>
    <row r="14" spans="1:2" x14ac:dyDescent="0.25">
      <c r="A14" s="14" t="s">
        <v>27</v>
      </c>
      <c r="B14" s="14"/>
    </row>
    <row r="15" spans="1:2" x14ac:dyDescent="0.25">
      <c r="A15" s="5" t="s">
        <v>28</v>
      </c>
      <c r="B15" s="11">
        <v>0</v>
      </c>
    </row>
    <row r="16" spans="1:2" x14ac:dyDescent="0.25">
      <c r="A16" s="5" t="s">
        <v>29</v>
      </c>
      <c r="B16" s="11">
        <v>0</v>
      </c>
    </row>
    <row r="17" spans="1:2" x14ac:dyDescent="0.25">
      <c r="A17" s="5" t="s">
        <v>30</v>
      </c>
      <c r="B17" s="11">
        <v>0</v>
      </c>
    </row>
    <row r="18" spans="1:2" x14ac:dyDescent="0.25">
      <c r="A18" s="5" t="s">
        <v>31</v>
      </c>
      <c r="B18" s="11">
        <v>0</v>
      </c>
    </row>
    <row r="19" spans="1:2" x14ac:dyDescent="0.25">
      <c r="A19" s="5" t="s">
        <v>32</v>
      </c>
      <c r="B19" s="11">
        <v>0</v>
      </c>
    </row>
    <row r="20" spans="1:2" x14ac:dyDescent="0.25">
      <c r="A20" s="12" t="s">
        <v>33</v>
      </c>
      <c r="B20" s="13">
        <f>SUM(B15:B19)</f>
        <v>0</v>
      </c>
    </row>
    <row r="21" spans="1:2" x14ac:dyDescent="0.25">
      <c r="A21" s="5"/>
      <c r="B21" s="5"/>
    </row>
    <row r="22" spans="1:2" ht="15.75" x14ac:dyDescent="0.25">
      <c r="A22" s="15" t="s">
        <v>34</v>
      </c>
      <c r="B22" s="16">
        <f>B12-B20</f>
        <v>0</v>
      </c>
    </row>
  </sheetData>
  <mergeCells count="2">
    <mergeCell ref="A1:B1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G16" sqref="G16"/>
    </sheetView>
  </sheetViews>
  <sheetFormatPr defaultRowHeight="15" x14ac:dyDescent="0.25"/>
  <cols>
    <col min="1" max="1" width="40" customWidth="1"/>
    <col min="2" max="2" width="15" customWidth="1"/>
  </cols>
  <sheetData>
    <row r="1" spans="1:2" ht="18.75" x14ac:dyDescent="0.3">
      <c r="A1" s="26" t="s">
        <v>35</v>
      </c>
      <c r="B1" s="27"/>
    </row>
    <row r="3" spans="1:2" ht="15.75" x14ac:dyDescent="0.25">
      <c r="A3" s="28" t="s">
        <v>36</v>
      </c>
      <c r="B3" s="25"/>
    </row>
    <row r="4" spans="1:2" x14ac:dyDescent="0.25">
      <c r="A4" s="5" t="s">
        <v>37</v>
      </c>
      <c r="B4" s="11">
        <v>0</v>
      </c>
    </row>
    <row r="5" spans="1:2" x14ac:dyDescent="0.25">
      <c r="A5" s="5" t="s">
        <v>38</v>
      </c>
      <c r="B5" s="11">
        <v>0</v>
      </c>
    </row>
    <row r="6" spans="1:2" x14ac:dyDescent="0.25">
      <c r="A6" s="5" t="s">
        <v>39</v>
      </c>
      <c r="B6" s="11">
        <v>0</v>
      </c>
    </row>
    <row r="7" spans="1:2" x14ac:dyDescent="0.25">
      <c r="A7" s="5" t="s">
        <v>40</v>
      </c>
      <c r="B7" s="11">
        <v>0</v>
      </c>
    </row>
    <row r="8" spans="1:2" x14ac:dyDescent="0.25">
      <c r="A8" s="5" t="s">
        <v>41</v>
      </c>
      <c r="B8" s="11">
        <v>0</v>
      </c>
    </row>
    <row r="9" spans="1:2" x14ac:dyDescent="0.25">
      <c r="A9" s="5" t="s">
        <v>42</v>
      </c>
      <c r="B9" s="11">
        <v>0</v>
      </c>
    </row>
    <row r="10" spans="1:2" x14ac:dyDescent="0.25">
      <c r="A10" s="12" t="s">
        <v>43</v>
      </c>
      <c r="B10" s="13">
        <f>SUM(B4:B9)</f>
        <v>0</v>
      </c>
    </row>
    <row r="11" spans="1:2" x14ac:dyDescent="0.25">
      <c r="A11" s="5"/>
      <c r="B11" s="5"/>
    </row>
    <row r="12" spans="1:2" ht="15.75" x14ac:dyDescent="0.25">
      <c r="A12" s="28" t="s">
        <v>44</v>
      </c>
      <c r="B12" s="25"/>
    </row>
    <row r="13" spans="1:2" x14ac:dyDescent="0.25">
      <c r="A13" s="5" t="s">
        <v>45</v>
      </c>
      <c r="B13" s="11">
        <v>0</v>
      </c>
    </row>
    <row r="14" spans="1:2" x14ac:dyDescent="0.25">
      <c r="A14" s="5" t="s">
        <v>46</v>
      </c>
      <c r="B14" s="11">
        <v>0</v>
      </c>
    </row>
    <row r="15" spans="1:2" x14ac:dyDescent="0.25">
      <c r="A15" s="5" t="s">
        <v>47</v>
      </c>
      <c r="B15" s="11">
        <v>0</v>
      </c>
    </row>
    <row r="16" spans="1:2" x14ac:dyDescent="0.25">
      <c r="A16" s="5" t="s">
        <v>48</v>
      </c>
      <c r="B16" s="11">
        <v>0</v>
      </c>
    </row>
    <row r="17" spans="1:2" x14ac:dyDescent="0.25">
      <c r="A17" s="5" t="s">
        <v>49</v>
      </c>
      <c r="B17" s="11">
        <v>0</v>
      </c>
    </row>
    <row r="18" spans="1:2" x14ac:dyDescent="0.25">
      <c r="A18" s="5" t="s">
        <v>50</v>
      </c>
      <c r="B18" s="11">
        <v>0</v>
      </c>
    </row>
    <row r="19" spans="1:2" x14ac:dyDescent="0.25">
      <c r="A19" s="12" t="s">
        <v>51</v>
      </c>
      <c r="B19" s="13">
        <f>SUM(B13:B18)</f>
        <v>0</v>
      </c>
    </row>
    <row r="20" spans="1:2" x14ac:dyDescent="0.25">
      <c r="A20" s="5"/>
      <c r="B20" s="5"/>
    </row>
    <row r="21" spans="1:2" ht="15.75" x14ac:dyDescent="0.25">
      <c r="A21" s="28" t="s">
        <v>52</v>
      </c>
      <c r="B21" s="25"/>
    </row>
    <row r="22" spans="1:2" x14ac:dyDescent="0.25">
      <c r="A22" s="5" t="s">
        <v>53</v>
      </c>
      <c r="B22" s="11">
        <f>(B10+B19)*3</f>
        <v>0</v>
      </c>
    </row>
    <row r="23" spans="1:2" x14ac:dyDescent="0.25">
      <c r="A23" s="5" t="s">
        <v>54</v>
      </c>
      <c r="B23" s="11">
        <f>(B10+B19)*6</f>
        <v>0</v>
      </c>
    </row>
    <row r="24" spans="1:2" x14ac:dyDescent="0.25">
      <c r="A24" s="5" t="s">
        <v>55</v>
      </c>
      <c r="B24" s="11">
        <f>(B10+B19)*9</f>
        <v>0</v>
      </c>
    </row>
    <row r="25" spans="1:2" x14ac:dyDescent="0.25">
      <c r="A25" s="5" t="s">
        <v>56</v>
      </c>
      <c r="B25" s="13">
        <f>(B10+B19)*12</f>
        <v>0</v>
      </c>
    </row>
  </sheetData>
  <mergeCells count="4">
    <mergeCell ref="A1:B1"/>
    <mergeCell ref="A21:B21"/>
    <mergeCell ref="A3:B3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1"/>
  <sheetViews>
    <sheetView topLeftCell="A12" workbookViewId="0">
      <selection activeCell="D14" sqref="D14"/>
    </sheetView>
  </sheetViews>
  <sheetFormatPr defaultRowHeight="15" x14ac:dyDescent="0.25"/>
  <cols>
    <col min="1" max="1" width="35" customWidth="1"/>
    <col min="2" max="2" width="5" customWidth="1"/>
    <col min="3" max="3" width="15" customWidth="1"/>
  </cols>
  <sheetData>
    <row r="1" spans="1:3" ht="18.75" x14ac:dyDescent="0.3">
      <c r="A1" s="26" t="s">
        <v>110</v>
      </c>
      <c r="B1" s="27"/>
      <c r="C1" s="27"/>
    </row>
    <row r="3" spans="1:3" x14ac:dyDescent="0.25">
      <c r="A3" t="s">
        <v>111</v>
      </c>
      <c r="B3" t="s">
        <v>112</v>
      </c>
    </row>
    <row r="5" spans="1:3" ht="15.75" x14ac:dyDescent="0.25">
      <c r="A5" s="28" t="s">
        <v>113</v>
      </c>
      <c r="B5" s="25"/>
      <c r="C5" s="25"/>
    </row>
    <row r="6" spans="1:3" x14ac:dyDescent="0.25">
      <c r="A6" s="5" t="s">
        <v>114</v>
      </c>
      <c r="B6" s="5" t="s">
        <v>19</v>
      </c>
      <c r="C6" s="11">
        <v>0</v>
      </c>
    </row>
    <row r="7" spans="1:3" x14ac:dyDescent="0.25">
      <c r="A7" s="5" t="s">
        <v>115</v>
      </c>
      <c r="B7" s="5" t="s">
        <v>19</v>
      </c>
      <c r="C7" s="11">
        <v>0</v>
      </c>
    </row>
    <row r="8" spans="1:3" x14ac:dyDescent="0.25">
      <c r="A8" s="5" t="s">
        <v>116</v>
      </c>
      <c r="B8" s="5" t="s">
        <v>19</v>
      </c>
      <c r="C8" s="11">
        <v>0</v>
      </c>
    </row>
    <row r="9" spans="1:3" x14ac:dyDescent="0.25">
      <c r="A9" s="5" t="s">
        <v>117</v>
      </c>
      <c r="B9" s="5" t="s">
        <v>19</v>
      </c>
      <c r="C9" s="11">
        <v>0</v>
      </c>
    </row>
    <row r="10" spans="1:3" x14ac:dyDescent="0.25">
      <c r="A10" s="12" t="s">
        <v>118</v>
      </c>
      <c r="B10" s="5" t="s">
        <v>19</v>
      </c>
      <c r="C10" s="13">
        <f>SUM(C6:C9)</f>
        <v>0</v>
      </c>
    </row>
    <row r="11" spans="1:3" x14ac:dyDescent="0.25">
      <c r="A11" s="5"/>
      <c r="B11" s="5"/>
      <c r="C11" s="5"/>
    </row>
    <row r="12" spans="1:3" ht="15.75" x14ac:dyDescent="0.25">
      <c r="A12" s="28" t="s">
        <v>119</v>
      </c>
      <c r="B12" s="25"/>
      <c r="C12" s="25"/>
    </row>
    <row r="13" spans="1:3" x14ac:dyDescent="0.25">
      <c r="A13" s="14" t="s">
        <v>120</v>
      </c>
      <c r="B13" s="14"/>
      <c r="C13" s="14"/>
    </row>
    <row r="14" spans="1:3" x14ac:dyDescent="0.25">
      <c r="A14" s="5" t="s">
        <v>121</v>
      </c>
      <c r="B14" s="5" t="s">
        <v>19</v>
      </c>
      <c r="C14" s="11">
        <v>0</v>
      </c>
    </row>
    <row r="15" spans="1:3" x14ac:dyDescent="0.25">
      <c r="A15" s="5" t="s">
        <v>122</v>
      </c>
      <c r="B15" s="5" t="s">
        <v>19</v>
      </c>
      <c r="C15" s="11">
        <v>0</v>
      </c>
    </row>
    <row r="16" spans="1:3" x14ac:dyDescent="0.25">
      <c r="A16" s="5" t="s">
        <v>123</v>
      </c>
      <c r="B16" s="5" t="s">
        <v>19</v>
      </c>
      <c r="C16" s="11">
        <v>0</v>
      </c>
    </row>
    <row r="17" spans="1:3" x14ac:dyDescent="0.25">
      <c r="A17" s="5" t="s">
        <v>124</v>
      </c>
      <c r="B17" s="5" t="s">
        <v>19</v>
      </c>
      <c r="C17" s="11">
        <v>0</v>
      </c>
    </row>
    <row r="18" spans="1:3" x14ac:dyDescent="0.25">
      <c r="A18" s="5" t="s">
        <v>125</v>
      </c>
      <c r="B18" s="5" t="s">
        <v>19</v>
      </c>
      <c r="C18" s="11">
        <v>0</v>
      </c>
    </row>
    <row r="19" spans="1:3" x14ac:dyDescent="0.25">
      <c r="A19" s="12" t="s">
        <v>126</v>
      </c>
      <c r="B19" s="5" t="s">
        <v>19</v>
      </c>
      <c r="C19" s="13">
        <f>SUM(C14:C18)</f>
        <v>0</v>
      </c>
    </row>
    <row r="20" spans="1:3" x14ac:dyDescent="0.25">
      <c r="A20" s="14" t="s">
        <v>127</v>
      </c>
      <c r="B20" s="14"/>
      <c r="C20" s="14"/>
    </row>
    <row r="21" spans="1:3" x14ac:dyDescent="0.25">
      <c r="A21" s="5" t="s">
        <v>128</v>
      </c>
      <c r="B21" s="5" t="s">
        <v>19</v>
      </c>
      <c r="C21" s="11">
        <v>0</v>
      </c>
    </row>
    <row r="22" spans="1:3" x14ac:dyDescent="0.25">
      <c r="A22" s="5" t="s">
        <v>129</v>
      </c>
      <c r="B22" s="5" t="s">
        <v>19</v>
      </c>
      <c r="C22" s="11">
        <v>0</v>
      </c>
    </row>
    <row r="23" spans="1:3" x14ac:dyDescent="0.25">
      <c r="A23" s="5" t="s">
        <v>130</v>
      </c>
      <c r="B23" s="5" t="s">
        <v>19</v>
      </c>
      <c r="C23" s="11">
        <v>0</v>
      </c>
    </row>
    <row r="24" spans="1:3" x14ac:dyDescent="0.25">
      <c r="A24" s="5" t="s">
        <v>131</v>
      </c>
      <c r="B24" s="5" t="s">
        <v>19</v>
      </c>
      <c r="C24" s="11">
        <v>0</v>
      </c>
    </row>
    <row r="25" spans="1:3" x14ac:dyDescent="0.25">
      <c r="A25" s="12" t="s">
        <v>132</v>
      </c>
      <c r="B25" s="5" t="s">
        <v>19</v>
      </c>
      <c r="C25" s="13">
        <f>SUM(C21:C24)</f>
        <v>0</v>
      </c>
    </row>
    <row r="26" spans="1:3" x14ac:dyDescent="0.25">
      <c r="A26" s="14" t="s">
        <v>133</v>
      </c>
      <c r="B26" s="14"/>
      <c r="C26" s="14"/>
    </row>
    <row r="27" spans="1:3" x14ac:dyDescent="0.25">
      <c r="A27" s="5" t="s">
        <v>134</v>
      </c>
      <c r="B27" s="5" t="s">
        <v>19</v>
      </c>
      <c r="C27" s="11">
        <v>0</v>
      </c>
    </row>
    <row r="28" spans="1:3" x14ac:dyDescent="0.25">
      <c r="A28" s="5" t="s">
        <v>135</v>
      </c>
      <c r="B28" s="5" t="s">
        <v>19</v>
      </c>
      <c r="C28" s="11">
        <v>0</v>
      </c>
    </row>
    <row r="29" spans="1:3" x14ac:dyDescent="0.25">
      <c r="A29" s="5" t="s">
        <v>136</v>
      </c>
      <c r="B29" s="5" t="s">
        <v>19</v>
      </c>
      <c r="C29" s="11">
        <v>0</v>
      </c>
    </row>
    <row r="30" spans="1:3" x14ac:dyDescent="0.25">
      <c r="A30" s="5" t="s">
        <v>137</v>
      </c>
      <c r="B30" s="5" t="s">
        <v>19</v>
      </c>
      <c r="C30" s="11">
        <v>0</v>
      </c>
    </row>
    <row r="31" spans="1:3" x14ac:dyDescent="0.25">
      <c r="A31" s="12" t="s">
        <v>138</v>
      </c>
      <c r="B31" s="5" t="s">
        <v>19</v>
      </c>
      <c r="C31" s="13">
        <f>SUM(C27:C30)</f>
        <v>0</v>
      </c>
    </row>
    <row r="32" spans="1:3" x14ac:dyDescent="0.25">
      <c r="A32" s="12" t="s">
        <v>139</v>
      </c>
      <c r="B32" s="5" t="s">
        <v>19</v>
      </c>
      <c r="C32" s="13">
        <f>C19+C25+C31</f>
        <v>0</v>
      </c>
    </row>
    <row r="33" spans="1:3" x14ac:dyDescent="0.25">
      <c r="A33" s="5"/>
      <c r="B33" s="5"/>
      <c r="C33" s="5"/>
    </row>
    <row r="34" spans="1:3" ht="15.75" x14ac:dyDescent="0.25">
      <c r="A34" s="15" t="s">
        <v>140</v>
      </c>
      <c r="B34" s="5" t="s">
        <v>19</v>
      </c>
      <c r="C34" s="16">
        <f>C10-C32</f>
        <v>0</v>
      </c>
    </row>
    <row r="37" spans="1:3" ht="15.75" x14ac:dyDescent="0.25">
      <c r="A37" s="28" t="s">
        <v>360</v>
      </c>
      <c r="B37" s="25"/>
      <c r="C37" s="25"/>
    </row>
    <row r="38" spans="1:3" x14ac:dyDescent="0.25">
      <c r="A38" t="s">
        <v>361</v>
      </c>
    </row>
    <row r="39" spans="1:3" x14ac:dyDescent="0.25">
      <c r="A39" t="s">
        <v>362</v>
      </c>
    </row>
    <row r="40" spans="1:3" x14ac:dyDescent="0.25">
      <c r="A40" t="s">
        <v>363</v>
      </c>
    </row>
    <row r="41" spans="1:3" x14ac:dyDescent="0.25">
      <c r="A41" t="s">
        <v>364</v>
      </c>
    </row>
  </sheetData>
  <mergeCells count="4">
    <mergeCell ref="A1:C1"/>
    <mergeCell ref="A12:C12"/>
    <mergeCell ref="A5:C5"/>
    <mergeCell ref="A37:C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7"/>
  <sheetViews>
    <sheetView topLeftCell="A139" workbookViewId="0">
      <selection activeCell="E84" sqref="E84"/>
    </sheetView>
  </sheetViews>
  <sheetFormatPr defaultRowHeight="15" x14ac:dyDescent="0.25"/>
  <cols>
    <col min="1" max="1" width="30" customWidth="1"/>
    <col min="2" max="2" width="15" customWidth="1"/>
    <col min="3" max="3" width="32.28515625" customWidth="1"/>
    <col min="4" max="8" width="15" customWidth="1"/>
    <col min="9" max="9" width="20.140625" customWidth="1"/>
    <col min="10" max="10" width="13.28515625" customWidth="1"/>
  </cols>
  <sheetData>
    <row r="1" spans="1:8" ht="18.75" x14ac:dyDescent="0.3">
      <c r="A1" s="29" t="s">
        <v>189</v>
      </c>
      <c r="B1" s="27"/>
      <c r="C1" s="27"/>
      <c r="D1" s="27"/>
      <c r="E1" s="27"/>
      <c r="F1" s="27"/>
      <c r="G1" s="27"/>
      <c r="H1" s="27"/>
    </row>
    <row r="2" spans="1:8" x14ac:dyDescent="0.25">
      <c r="A2" s="3" t="s">
        <v>190</v>
      </c>
    </row>
    <row r="3" spans="1:8" x14ac:dyDescent="0.25">
      <c r="A3" s="3" t="s">
        <v>191</v>
      </c>
    </row>
    <row r="4" spans="1:8" x14ac:dyDescent="0.25">
      <c r="A4" s="3" t="s">
        <v>192</v>
      </c>
    </row>
    <row r="5" spans="1:8" x14ac:dyDescent="0.25">
      <c r="A5" s="3" t="s">
        <v>193</v>
      </c>
    </row>
    <row r="6" spans="1:8" x14ac:dyDescent="0.25">
      <c r="A6" s="3" t="s">
        <v>194</v>
      </c>
    </row>
    <row r="7" spans="1:8" x14ac:dyDescent="0.25">
      <c r="A7" s="3"/>
    </row>
    <row r="8" spans="1:8" x14ac:dyDescent="0.25">
      <c r="A8" s="3" t="s">
        <v>225</v>
      </c>
    </row>
    <row r="9" spans="1:8" x14ac:dyDescent="0.25">
      <c r="A9" s="4" t="s">
        <v>195</v>
      </c>
      <c r="B9" s="4" t="s">
        <v>196</v>
      </c>
      <c r="C9" s="4" t="s">
        <v>197</v>
      </c>
    </row>
    <row r="10" spans="1:8" x14ac:dyDescent="0.25">
      <c r="A10" s="5" t="s">
        <v>198</v>
      </c>
      <c r="B10" s="5" t="s">
        <v>199</v>
      </c>
      <c r="C10" s="5" t="s">
        <v>200</v>
      </c>
    </row>
    <row r="11" spans="1:8" x14ac:dyDescent="0.25">
      <c r="A11" s="5" t="s">
        <v>201</v>
      </c>
      <c r="B11" s="5" t="s">
        <v>202</v>
      </c>
      <c r="C11" s="5" t="s">
        <v>203</v>
      </c>
    </row>
    <row r="12" spans="1:8" x14ac:dyDescent="0.25">
      <c r="A12" s="5" t="s">
        <v>204</v>
      </c>
      <c r="B12" s="5" t="s">
        <v>205</v>
      </c>
      <c r="C12" s="5" t="s">
        <v>206</v>
      </c>
    </row>
    <row r="13" spans="1:8" x14ac:dyDescent="0.25">
      <c r="A13" s="5" t="s">
        <v>207</v>
      </c>
      <c r="B13" s="5" t="s">
        <v>208</v>
      </c>
      <c r="C13" s="5" t="s">
        <v>209</v>
      </c>
    </row>
    <row r="14" spans="1:8" x14ac:dyDescent="0.25">
      <c r="A14" s="5" t="s">
        <v>210</v>
      </c>
      <c r="B14" s="5" t="s">
        <v>211</v>
      </c>
      <c r="C14" s="5" t="s">
        <v>212</v>
      </c>
    </row>
    <row r="15" spans="1:8" x14ac:dyDescent="0.25">
      <c r="A15" s="5" t="s">
        <v>213</v>
      </c>
      <c r="B15" s="5" t="s">
        <v>214</v>
      </c>
      <c r="C15" s="5" t="s">
        <v>215</v>
      </c>
    </row>
    <row r="16" spans="1:8" x14ac:dyDescent="0.25">
      <c r="A16" s="5" t="s">
        <v>216</v>
      </c>
      <c r="B16" s="5" t="s">
        <v>217</v>
      </c>
      <c r="C16" s="5" t="s">
        <v>218</v>
      </c>
    </row>
    <row r="17" spans="1:9" x14ac:dyDescent="0.25">
      <c r="A17" s="5" t="s">
        <v>219</v>
      </c>
      <c r="B17" s="5" t="s">
        <v>220</v>
      </c>
      <c r="C17" s="5" t="s">
        <v>221</v>
      </c>
    </row>
    <row r="18" spans="1:9" x14ac:dyDescent="0.25">
      <c r="A18" s="5" t="s">
        <v>222</v>
      </c>
      <c r="B18" s="5" t="s">
        <v>223</v>
      </c>
      <c r="C18" s="5" t="s">
        <v>224</v>
      </c>
    </row>
    <row r="19" spans="1:9" ht="15.75" x14ac:dyDescent="0.25">
      <c r="A19" s="1"/>
    </row>
    <row r="21" spans="1:9" ht="15.75" x14ac:dyDescent="0.25">
      <c r="A21" s="6" t="s">
        <v>57</v>
      </c>
      <c r="B21" s="6" t="s">
        <v>58</v>
      </c>
      <c r="C21" s="6" t="s">
        <v>59</v>
      </c>
      <c r="D21" s="6" t="s">
        <v>60</v>
      </c>
      <c r="E21" s="6" t="s">
        <v>61</v>
      </c>
      <c r="F21" s="6" t="s">
        <v>62</v>
      </c>
      <c r="G21" s="6" t="s">
        <v>63</v>
      </c>
      <c r="H21" s="6" t="s">
        <v>64</v>
      </c>
      <c r="I21" s="7" t="s">
        <v>188</v>
      </c>
    </row>
    <row r="22" spans="1:9" x14ac:dyDescent="0.25">
      <c r="A22" s="5" t="s">
        <v>65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66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 t="s">
        <v>67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 t="s">
        <v>68</v>
      </c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 t="s">
        <v>69</v>
      </c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 t="s">
        <v>70</v>
      </c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 t="s">
        <v>71</v>
      </c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 t="s">
        <v>72</v>
      </c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 t="s">
        <v>73</v>
      </c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 t="s">
        <v>74</v>
      </c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 t="s">
        <v>75</v>
      </c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 t="s">
        <v>76</v>
      </c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 t="s">
        <v>77</v>
      </c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 t="s">
        <v>78</v>
      </c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 t="s">
        <v>79</v>
      </c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 t="s">
        <v>80</v>
      </c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 t="s">
        <v>81</v>
      </c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 t="s">
        <v>82</v>
      </c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 t="s">
        <v>83</v>
      </c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5" t="s">
        <v>84</v>
      </c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 t="s">
        <v>85</v>
      </c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 t="s">
        <v>86</v>
      </c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 t="s">
        <v>87</v>
      </c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 t="s">
        <v>88</v>
      </c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 t="s">
        <v>89</v>
      </c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5" t="s">
        <v>90</v>
      </c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5" t="s">
        <v>91</v>
      </c>
      <c r="B48" s="5"/>
      <c r="C48" s="5"/>
      <c r="D48" s="5"/>
      <c r="E48" s="5"/>
      <c r="F48" s="5"/>
      <c r="G48" s="5"/>
      <c r="H48" s="5"/>
      <c r="I48" s="5"/>
    </row>
    <row r="49" spans="1:10" x14ac:dyDescent="0.25">
      <c r="A49" s="5" t="s">
        <v>92</v>
      </c>
      <c r="B49" s="5"/>
      <c r="C49" s="5"/>
      <c r="D49" s="5"/>
      <c r="E49" s="5"/>
      <c r="F49" s="5"/>
      <c r="G49" s="5"/>
      <c r="H49" s="5"/>
      <c r="I49" s="5"/>
    </row>
    <row r="50" spans="1:10" x14ac:dyDescent="0.25">
      <c r="A50" s="5" t="s">
        <v>93</v>
      </c>
      <c r="B50" s="5"/>
      <c r="C50" s="5"/>
      <c r="D50" s="5"/>
      <c r="E50" s="5"/>
      <c r="F50" s="5"/>
      <c r="G50" s="5"/>
      <c r="H50" s="5"/>
      <c r="I50" s="5"/>
    </row>
    <row r="51" spans="1:10" x14ac:dyDescent="0.25">
      <c r="A51" s="5" t="s">
        <v>94</v>
      </c>
      <c r="B51" s="5"/>
      <c r="C51" s="5"/>
      <c r="D51" s="5"/>
      <c r="E51" s="5"/>
      <c r="F51" s="5"/>
      <c r="G51" s="5"/>
      <c r="H51" s="5"/>
      <c r="I51" s="5"/>
    </row>
    <row r="52" spans="1:10" x14ac:dyDescent="0.25">
      <c r="A52" s="5" t="s">
        <v>95</v>
      </c>
      <c r="B52" s="5"/>
      <c r="C52" s="5"/>
      <c r="D52" s="5"/>
      <c r="E52" s="5"/>
      <c r="F52" s="5"/>
      <c r="G52" s="5"/>
      <c r="H52" s="5"/>
      <c r="I52" s="5"/>
    </row>
    <row r="53" spans="1:10" x14ac:dyDescent="0.25">
      <c r="A53" s="5" t="s">
        <v>96</v>
      </c>
      <c r="B53" s="5"/>
      <c r="C53" s="5"/>
      <c r="D53" s="5"/>
      <c r="E53" s="5"/>
      <c r="F53" s="5"/>
      <c r="G53" s="5"/>
      <c r="H53" s="5"/>
      <c r="I53" s="5"/>
    </row>
    <row r="54" spans="1:10" x14ac:dyDescent="0.25">
      <c r="A54" s="5" t="s">
        <v>97</v>
      </c>
      <c r="B54" s="5"/>
      <c r="C54" s="5"/>
      <c r="D54" s="5"/>
      <c r="E54" s="5"/>
      <c r="F54" s="5"/>
      <c r="G54" s="5"/>
      <c r="H54" s="5"/>
      <c r="I54" s="5"/>
    </row>
    <row r="55" spans="1:10" x14ac:dyDescent="0.25">
      <c r="A55" s="5" t="s">
        <v>98</v>
      </c>
      <c r="B55" s="5"/>
      <c r="C55" s="5"/>
      <c r="D55" s="5"/>
      <c r="E55" s="5"/>
      <c r="F55" s="5"/>
      <c r="G55" s="5"/>
      <c r="H55" s="5"/>
      <c r="I55" s="5"/>
    </row>
    <row r="58" spans="1:10" ht="18.75" x14ac:dyDescent="0.3">
      <c r="A58" s="29" t="s">
        <v>226</v>
      </c>
      <c r="B58" s="27"/>
      <c r="C58" s="27"/>
      <c r="D58" s="27"/>
      <c r="E58" s="27"/>
      <c r="F58" s="27"/>
      <c r="G58" s="27"/>
      <c r="H58" s="27"/>
      <c r="I58" s="27"/>
      <c r="J58" s="27"/>
    </row>
    <row r="60" spans="1:10" x14ac:dyDescent="0.25">
      <c r="A60" s="8" t="s">
        <v>195</v>
      </c>
      <c r="B60" s="8" t="s">
        <v>227</v>
      </c>
      <c r="C60" s="8" t="s">
        <v>228</v>
      </c>
      <c r="D60" s="8" t="s">
        <v>229</v>
      </c>
      <c r="E60" s="8" t="s">
        <v>230</v>
      </c>
      <c r="F60" s="8" t="s">
        <v>231</v>
      </c>
      <c r="G60" s="8" t="s">
        <v>232</v>
      </c>
      <c r="H60" s="8" t="s">
        <v>233</v>
      </c>
      <c r="I60" s="8" t="s">
        <v>234</v>
      </c>
      <c r="J60" s="8" t="s">
        <v>235</v>
      </c>
    </row>
    <row r="61" spans="1:10" x14ac:dyDescent="0.25">
      <c r="A61" s="5" t="s">
        <v>236</v>
      </c>
      <c r="B61" s="5"/>
      <c r="C61" s="5"/>
      <c r="D61" s="5"/>
      <c r="E61" s="5"/>
      <c r="F61" s="5"/>
      <c r="G61" s="5"/>
      <c r="H61" s="5"/>
      <c r="I61" s="5">
        <f t="shared" ref="I61:I69" si="0">SUM(B61:H61)</f>
        <v>0</v>
      </c>
      <c r="J61" s="5">
        <f t="shared" ref="J61:J69" si="1">I61/168*100</f>
        <v>0</v>
      </c>
    </row>
    <row r="62" spans="1:10" x14ac:dyDescent="0.25">
      <c r="A62" s="5" t="s">
        <v>237</v>
      </c>
      <c r="B62" s="5"/>
      <c r="C62" s="5"/>
      <c r="D62" s="5"/>
      <c r="E62" s="5"/>
      <c r="F62" s="5"/>
      <c r="G62" s="5"/>
      <c r="H62" s="5"/>
      <c r="I62" s="5">
        <f t="shared" si="0"/>
        <v>0</v>
      </c>
      <c r="J62" s="5">
        <f t="shared" si="1"/>
        <v>0</v>
      </c>
    </row>
    <row r="63" spans="1:10" x14ac:dyDescent="0.25">
      <c r="A63" s="5" t="s">
        <v>238</v>
      </c>
      <c r="B63" s="5"/>
      <c r="C63" s="5"/>
      <c r="D63" s="5"/>
      <c r="E63" s="5"/>
      <c r="F63" s="5"/>
      <c r="G63" s="5"/>
      <c r="H63" s="5"/>
      <c r="I63" s="5">
        <f t="shared" si="0"/>
        <v>0</v>
      </c>
      <c r="J63" s="5">
        <f t="shared" si="1"/>
        <v>0</v>
      </c>
    </row>
    <row r="64" spans="1:10" x14ac:dyDescent="0.25">
      <c r="A64" s="5" t="s">
        <v>239</v>
      </c>
      <c r="B64" s="5"/>
      <c r="C64" s="5"/>
      <c r="D64" s="5"/>
      <c r="E64" s="5"/>
      <c r="F64" s="5"/>
      <c r="G64" s="5"/>
      <c r="H64" s="5"/>
      <c r="I64" s="5">
        <f t="shared" si="0"/>
        <v>0</v>
      </c>
      <c r="J64" s="5">
        <f t="shared" si="1"/>
        <v>0</v>
      </c>
    </row>
    <row r="65" spans="1:10" x14ac:dyDescent="0.25">
      <c r="A65" s="5" t="s">
        <v>240</v>
      </c>
      <c r="B65" s="5"/>
      <c r="C65" s="5"/>
      <c r="D65" s="5"/>
      <c r="E65" s="5"/>
      <c r="F65" s="5"/>
      <c r="G65" s="5"/>
      <c r="H65" s="5"/>
      <c r="I65" s="5">
        <f t="shared" si="0"/>
        <v>0</v>
      </c>
      <c r="J65" s="5">
        <f t="shared" si="1"/>
        <v>0</v>
      </c>
    </row>
    <row r="66" spans="1:10" x14ac:dyDescent="0.25">
      <c r="A66" s="5" t="s">
        <v>241</v>
      </c>
      <c r="B66" s="5"/>
      <c r="C66" s="5"/>
      <c r="D66" s="5"/>
      <c r="E66" s="5"/>
      <c r="F66" s="5"/>
      <c r="G66" s="5"/>
      <c r="H66" s="5"/>
      <c r="I66" s="5">
        <f t="shared" si="0"/>
        <v>0</v>
      </c>
      <c r="J66" s="5">
        <f t="shared" si="1"/>
        <v>0</v>
      </c>
    </row>
    <row r="67" spans="1:10" x14ac:dyDescent="0.25">
      <c r="A67" s="5" t="s">
        <v>242</v>
      </c>
      <c r="B67" s="5"/>
      <c r="C67" s="5"/>
      <c r="D67" s="5"/>
      <c r="E67" s="5"/>
      <c r="F67" s="5"/>
      <c r="G67" s="5"/>
      <c r="H67" s="5"/>
      <c r="I67" s="5">
        <f t="shared" si="0"/>
        <v>0</v>
      </c>
      <c r="J67" s="5">
        <f t="shared" si="1"/>
        <v>0</v>
      </c>
    </row>
    <row r="68" spans="1:10" x14ac:dyDescent="0.25">
      <c r="A68" s="5" t="s">
        <v>243</v>
      </c>
      <c r="B68" s="5"/>
      <c r="C68" s="5"/>
      <c r="D68" s="5"/>
      <c r="E68" s="5"/>
      <c r="F68" s="5"/>
      <c r="G68" s="5"/>
      <c r="H68" s="5"/>
      <c r="I68" s="5">
        <f t="shared" si="0"/>
        <v>0</v>
      </c>
      <c r="J68" s="5">
        <f t="shared" si="1"/>
        <v>0</v>
      </c>
    </row>
    <row r="69" spans="1:10" x14ac:dyDescent="0.25">
      <c r="A69" s="5" t="s">
        <v>244</v>
      </c>
      <c r="B69" s="5"/>
      <c r="C69" s="5"/>
      <c r="D69" s="5"/>
      <c r="E69" s="5"/>
      <c r="F69" s="5"/>
      <c r="G69" s="5"/>
      <c r="H69" s="5"/>
      <c r="I69" s="5">
        <f t="shared" si="0"/>
        <v>0</v>
      </c>
      <c r="J69" s="5">
        <f t="shared" si="1"/>
        <v>0</v>
      </c>
    </row>
    <row r="70" spans="1:10" ht="15.75" x14ac:dyDescent="0.25">
      <c r="A70" s="9" t="s">
        <v>245</v>
      </c>
      <c r="B70" s="9" t="s">
        <v>246</v>
      </c>
      <c r="C70" s="9" t="s">
        <v>246</v>
      </c>
      <c r="D70" s="9" t="s">
        <v>246</v>
      </c>
      <c r="E70" s="9" t="s">
        <v>246</v>
      </c>
      <c r="F70" s="9" t="s">
        <v>246</v>
      </c>
      <c r="G70" s="9" t="s">
        <v>246</v>
      </c>
      <c r="H70" s="9" t="s">
        <v>246</v>
      </c>
      <c r="I70" s="9" t="s">
        <v>247</v>
      </c>
      <c r="J70" s="9" t="s">
        <v>248</v>
      </c>
    </row>
    <row r="73" spans="1:10" ht="18.75" x14ac:dyDescent="0.3">
      <c r="A73" s="2" t="s">
        <v>249</v>
      </c>
    </row>
    <row r="75" spans="1:10" x14ac:dyDescent="0.25">
      <c r="A75" t="s">
        <v>250</v>
      </c>
    </row>
    <row r="77" spans="1:10" ht="15.75" x14ac:dyDescent="0.25">
      <c r="A77" s="10" t="s">
        <v>251</v>
      </c>
    </row>
    <row r="78" spans="1:10" x14ac:dyDescent="0.25">
      <c r="A78" t="s">
        <v>252</v>
      </c>
    </row>
    <row r="79" spans="1:10" x14ac:dyDescent="0.25">
      <c r="A79" t="s">
        <v>253</v>
      </c>
    </row>
    <row r="80" spans="1:10" x14ac:dyDescent="0.25">
      <c r="A80" t="s">
        <v>254</v>
      </c>
    </row>
    <row r="82" spans="1:1" ht="15.75" x14ac:dyDescent="0.25">
      <c r="A82" s="10" t="s">
        <v>255</v>
      </c>
    </row>
    <row r="83" spans="1:1" x14ac:dyDescent="0.25">
      <c r="A83" t="s">
        <v>256</v>
      </c>
    </row>
    <row r="84" spans="1:1" x14ac:dyDescent="0.25">
      <c r="A84" t="s">
        <v>257</v>
      </c>
    </row>
    <row r="85" spans="1:1" x14ac:dyDescent="0.25">
      <c r="A85" t="s">
        <v>258</v>
      </c>
    </row>
    <row r="87" spans="1:1" ht="18.75" x14ac:dyDescent="0.3">
      <c r="A87" s="2" t="s">
        <v>259</v>
      </c>
    </row>
    <row r="89" spans="1:1" ht="15.75" x14ac:dyDescent="0.25">
      <c r="A89" s="10" t="s">
        <v>260</v>
      </c>
    </row>
    <row r="91" spans="1:1" ht="15.75" x14ac:dyDescent="0.25">
      <c r="A91" s="10" t="s">
        <v>261</v>
      </c>
    </row>
    <row r="93" spans="1:1" ht="15.75" x14ac:dyDescent="0.25">
      <c r="A93" s="10" t="s">
        <v>262</v>
      </c>
    </row>
    <row r="95" spans="1:1" ht="15.75" x14ac:dyDescent="0.25">
      <c r="A95" s="10" t="s">
        <v>263</v>
      </c>
    </row>
    <row r="98" spans="1:1" ht="18.75" x14ac:dyDescent="0.3">
      <c r="A98" s="2" t="s">
        <v>264</v>
      </c>
    </row>
    <row r="100" spans="1:1" ht="18.75" x14ac:dyDescent="0.3">
      <c r="A100" s="2" t="s">
        <v>265</v>
      </c>
    </row>
    <row r="102" spans="1:1" ht="15.75" x14ac:dyDescent="0.25">
      <c r="A102" s="10" t="s">
        <v>266</v>
      </c>
    </row>
    <row r="103" spans="1:1" x14ac:dyDescent="0.25">
      <c r="A103" t="s">
        <v>256</v>
      </c>
    </row>
    <row r="104" spans="1:1" x14ac:dyDescent="0.25">
      <c r="A104" t="s">
        <v>257</v>
      </c>
    </row>
    <row r="105" spans="1:1" x14ac:dyDescent="0.25">
      <c r="A105" t="s">
        <v>258</v>
      </c>
    </row>
    <row r="107" spans="1:1" ht="15.75" x14ac:dyDescent="0.25">
      <c r="A107" s="10" t="s">
        <v>267</v>
      </c>
    </row>
    <row r="108" spans="1:1" x14ac:dyDescent="0.25">
      <c r="A108" t="s">
        <v>268</v>
      </c>
    </row>
    <row r="109" spans="1:1" x14ac:dyDescent="0.25">
      <c r="A109" t="s">
        <v>269</v>
      </c>
    </row>
    <row r="110" spans="1:1" x14ac:dyDescent="0.25">
      <c r="A110" t="s">
        <v>270</v>
      </c>
    </row>
    <row r="111" spans="1:1" x14ac:dyDescent="0.25">
      <c r="A111" t="s">
        <v>271</v>
      </c>
    </row>
    <row r="112" spans="1:1" x14ac:dyDescent="0.25">
      <c r="A112" t="s">
        <v>272</v>
      </c>
    </row>
    <row r="114" spans="1:1" ht="18.75" x14ac:dyDescent="0.3">
      <c r="A114" s="2" t="s">
        <v>273</v>
      </c>
    </row>
    <row r="116" spans="1:1" ht="18.75" x14ac:dyDescent="0.3">
      <c r="A116" s="2" t="s">
        <v>274</v>
      </c>
    </row>
    <row r="118" spans="1:1" ht="15.75" x14ac:dyDescent="0.25">
      <c r="A118" s="10" t="s">
        <v>275</v>
      </c>
    </row>
    <row r="119" spans="1:1" x14ac:dyDescent="0.25">
      <c r="A119" t="s">
        <v>256</v>
      </c>
    </row>
    <row r="120" spans="1:1" x14ac:dyDescent="0.25">
      <c r="A120" t="s">
        <v>257</v>
      </c>
    </row>
    <row r="121" spans="1:1" x14ac:dyDescent="0.25">
      <c r="A121" t="s">
        <v>258</v>
      </c>
    </row>
    <row r="123" spans="1:1" ht="15.75" x14ac:dyDescent="0.25">
      <c r="A123" s="10" t="s">
        <v>276</v>
      </c>
    </row>
    <row r="124" spans="1:1" x14ac:dyDescent="0.25">
      <c r="A124" t="s">
        <v>256</v>
      </c>
    </row>
    <row r="125" spans="1:1" x14ac:dyDescent="0.25">
      <c r="A125" t="s">
        <v>257</v>
      </c>
    </row>
    <row r="126" spans="1:1" x14ac:dyDescent="0.25">
      <c r="A126" t="s">
        <v>258</v>
      </c>
    </row>
    <row r="128" spans="1:1" ht="15.75" x14ac:dyDescent="0.25">
      <c r="A128" s="10" t="s">
        <v>277</v>
      </c>
    </row>
    <row r="129" spans="1:1" x14ac:dyDescent="0.25">
      <c r="A129" t="s">
        <v>256</v>
      </c>
    </row>
    <row r="130" spans="1:1" x14ac:dyDescent="0.25">
      <c r="A130" t="s">
        <v>257</v>
      </c>
    </row>
    <row r="131" spans="1:1" x14ac:dyDescent="0.25">
      <c r="A131" t="s">
        <v>258</v>
      </c>
    </row>
    <row r="133" spans="1:1" ht="15.75" x14ac:dyDescent="0.25">
      <c r="A133" s="10" t="s">
        <v>278</v>
      </c>
    </row>
    <row r="134" spans="1:1" x14ac:dyDescent="0.25">
      <c r="A134" t="s">
        <v>279</v>
      </c>
    </row>
    <row r="135" spans="1:1" x14ac:dyDescent="0.25">
      <c r="A135" t="s">
        <v>280</v>
      </c>
    </row>
    <row r="136" spans="1:1" x14ac:dyDescent="0.25">
      <c r="A136" t="s">
        <v>281</v>
      </c>
    </row>
    <row r="137" spans="1:1" x14ac:dyDescent="0.25">
      <c r="A137" t="s">
        <v>282</v>
      </c>
    </row>
    <row r="138" spans="1:1" x14ac:dyDescent="0.25">
      <c r="A138" t="s">
        <v>283</v>
      </c>
    </row>
    <row r="140" spans="1:1" ht="18.75" x14ac:dyDescent="0.3">
      <c r="A140" s="2" t="s">
        <v>284</v>
      </c>
    </row>
    <row r="142" spans="1:1" ht="15.75" x14ac:dyDescent="0.25">
      <c r="A142" s="10" t="s">
        <v>285</v>
      </c>
    </row>
    <row r="143" spans="1:1" x14ac:dyDescent="0.25">
      <c r="A143" t="s">
        <v>286</v>
      </c>
    </row>
    <row r="144" spans="1:1" x14ac:dyDescent="0.25">
      <c r="A144" t="s">
        <v>287</v>
      </c>
    </row>
    <row r="145" spans="1:1" x14ac:dyDescent="0.25">
      <c r="A145" t="s">
        <v>288</v>
      </c>
    </row>
    <row r="146" spans="1:1" x14ac:dyDescent="0.25">
      <c r="A146" t="s">
        <v>289</v>
      </c>
    </row>
    <row r="147" spans="1:1" x14ac:dyDescent="0.25">
      <c r="A147" t="s">
        <v>290</v>
      </c>
    </row>
    <row r="149" spans="1:1" ht="15.75" x14ac:dyDescent="0.25">
      <c r="A149" s="10" t="s">
        <v>291</v>
      </c>
    </row>
    <row r="150" spans="1:1" x14ac:dyDescent="0.25">
      <c r="A150" t="s">
        <v>292</v>
      </c>
    </row>
    <row r="151" spans="1:1" x14ac:dyDescent="0.25">
      <c r="A151" t="s">
        <v>293</v>
      </c>
    </row>
    <row r="152" spans="1:1" x14ac:dyDescent="0.25">
      <c r="A152" t="s">
        <v>294</v>
      </c>
    </row>
    <row r="154" spans="1:1" ht="15.75" x14ac:dyDescent="0.25">
      <c r="A154" s="10" t="s">
        <v>295</v>
      </c>
    </row>
    <row r="155" spans="1:1" x14ac:dyDescent="0.25">
      <c r="A155" t="s">
        <v>296</v>
      </c>
    </row>
    <row r="156" spans="1:1" x14ac:dyDescent="0.25">
      <c r="A156" t="s">
        <v>297</v>
      </c>
    </row>
    <row r="157" spans="1:1" x14ac:dyDescent="0.25">
      <c r="A157" t="s">
        <v>298</v>
      </c>
    </row>
  </sheetData>
  <mergeCells count="2">
    <mergeCell ref="A1:H1"/>
    <mergeCell ref="A58:J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8"/>
  <sheetViews>
    <sheetView tabSelected="1" topLeftCell="A51" workbookViewId="0">
      <selection activeCell="A67" sqref="A67:E67"/>
    </sheetView>
  </sheetViews>
  <sheetFormatPr defaultRowHeight="15" x14ac:dyDescent="0.25"/>
  <cols>
    <col min="1" max="1" width="45.85546875" customWidth="1"/>
    <col min="2" max="2" width="24.85546875" customWidth="1"/>
    <col min="3" max="4" width="15" customWidth="1"/>
    <col min="5" max="5" width="25" customWidth="1"/>
    <col min="9" max="9" width="34.42578125" customWidth="1"/>
  </cols>
  <sheetData>
    <row r="1" spans="1:5" ht="18.75" x14ac:dyDescent="0.3">
      <c r="A1" s="29" t="s">
        <v>343</v>
      </c>
      <c r="B1" s="27"/>
      <c r="C1" s="27"/>
      <c r="D1" s="27"/>
      <c r="E1" s="27"/>
    </row>
    <row r="3" spans="1:5" ht="15.75" x14ac:dyDescent="0.25">
      <c r="A3" s="28" t="s">
        <v>99</v>
      </c>
      <c r="B3" s="25"/>
      <c r="C3" s="25"/>
      <c r="D3" s="25"/>
      <c r="E3" s="25"/>
    </row>
    <row r="4" spans="1:5" x14ac:dyDescent="0.25">
      <c r="A4" s="14" t="s">
        <v>331</v>
      </c>
      <c r="B4" s="14" t="s">
        <v>100</v>
      </c>
      <c r="C4" s="14" t="s">
        <v>101</v>
      </c>
      <c r="D4" s="14" t="s">
        <v>102</v>
      </c>
      <c r="E4" s="14" t="s">
        <v>103</v>
      </c>
    </row>
    <row r="5" spans="1:5" x14ac:dyDescent="0.25">
      <c r="A5" s="5" t="s">
        <v>104</v>
      </c>
      <c r="B5" s="5"/>
      <c r="C5" s="5"/>
      <c r="D5" s="5" t="s">
        <v>105</v>
      </c>
      <c r="E5" s="5"/>
    </row>
    <row r="6" spans="1:5" x14ac:dyDescent="0.25">
      <c r="A6" s="5" t="s">
        <v>106</v>
      </c>
      <c r="B6" s="5"/>
      <c r="C6" s="5"/>
      <c r="D6" s="5" t="s">
        <v>105</v>
      </c>
      <c r="E6" s="5"/>
    </row>
    <row r="7" spans="1:5" x14ac:dyDescent="0.25">
      <c r="A7" s="5" t="s">
        <v>107</v>
      </c>
      <c r="B7" s="5"/>
      <c r="C7" s="5"/>
      <c r="D7" s="5" t="s">
        <v>105</v>
      </c>
      <c r="E7" s="5"/>
    </row>
    <row r="8" spans="1:5" x14ac:dyDescent="0.25">
      <c r="A8" s="5" t="s">
        <v>108</v>
      </c>
      <c r="B8" s="5"/>
      <c r="C8" s="5"/>
      <c r="D8" s="5" t="s">
        <v>105</v>
      </c>
      <c r="E8" s="5"/>
    </row>
    <row r="9" spans="1:5" x14ac:dyDescent="0.25">
      <c r="A9" s="5" t="s">
        <v>109</v>
      </c>
      <c r="B9" s="5"/>
      <c r="C9" s="5"/>
      <c r="D9" s="5" t="s">
        <v>105</v>
      </c>
      <c r="E9" s="5"/>
    </row>
    <row r="10" spans="1:5" x14ac:dyDescent="0.25">
      <c r="A10" s="14" t="s">
        <v>332</v>
      </c>
      <c r="B10" s="14" t="s">
        <v>100</v>
      </c>
      <c r="C10" s="14" t="s">
        <v>101</v>
      </c>
      <c r="D10" s="14" t="s">
        <v>102</v>
      </c>
      <c r="E10" s="14" t="s">
        <v>103</v>
      </c>
    </row>
    <row r="11" spans="1:5" x14ac:dyDescent="0.25">
      <c r="A11" s="5" t="s">
        <v>333</v>
      </c>
      <c r="B11" s="5"/>
      <c r="C11" s="5"/>
      <c r="D11" s="5" t="s">
        <v>105</v>
      </c>
      <c r="E11" s="5"/>
    </row>
    <row r="12" spans="1:5" x14ac:dyDescent="0.25">
      <c r="A12" s="5" t="s">
        <v>334</v>
      </c>
      <c r="B12" s="5"/>
      <c r="C12" s="5"/>
      <c r="D12" s="5" t="s">
        <v>105</v>
      </c>
      <c r="E12" s="5"/>
    </row>
    <row r="13" spans="1:5" x14ac:dyDescent="0.25">
      <c r="A13" s="5" t="s">
        <v>335</v>
      </c>
      <c r="B13" s="5"/>
      <c r="C13" s="5"/>
      <c r="D13" s="5" t="s">
        <v>105</v>
      </c>
      <c r="E13" s="5"/>
    </row>
    <row r="14" spans="1:5" x14ac:dyDescent="0.25">
      <c r="A14" s="19" t="s">
        <v>336</v>
      </c>
      <c r="B14" s="14" t="s">
        <v>100</v>
      </c>
      <c r="C14" s="14" t="s">
        <v>101</v>
      </c>
      <c r="D14" s="14" t="s">
        <v>102</v>
      </c>
      <c r="E14" s="14" t="s">
        <v>103</v>
      </c>
    </row>
    <row r="15" spans="1:5" x14ac:dyDescent="0.25">
      <c r="A15" s="5" t="s">
        <v>385</v>
      </c>
      <c r="B15" s="5"/>
      <c r="C15" s="5"/>
      <c r="D15" s="5" t="s">
        <v>105</v>
      </c>
      <c r="E15" s="5"/>
    </row>
    <row r="16" spans="1:5" x14ac:dyDescent="0.25">
      <c r="A16" s="5" t="s">
        <v>384</v>
      </c>
      <c r="B16" s="5"/>
      <c r="C16" s="5"/>
      <c r="D16" s="5" t="s">
        <v>105</v>
      </c>
      <c r="E16" s="5"/>
    </row>
    <row r="17" spans="1:9" x14ac:dyDescent="0.25">
      <c r="A17" s="5" t="s">
        <v>383</v>
      </c>
      <c r="B17" s="5"/>
      <c r="C17" s="5"/>
      <c r="D17" s="5" t="s">
        <v>105</v>
      </c>
      <c r="E17" s="5"/>
    </row>
    <row r="18" spans="1:9" x14ac:dyDescent="0.25">
      <c r="A18" s="5" t="s">
        <v>386</v>
      </c>
      <c r="B18" s="5"/>
      <c r="C18" s="5"/>
      <c r="D18" s="5" t="s">
        <v>105</v>
      </c>
      <c r="E18" s="5"/>
    </row>
    <row r="19" spans="1:9" x14ac:dyDescent="0.25">
      <c r="A19" s="5" t="s">
        <v>387</v>
      </c>
      <c r="B19" s="5"/>
      <c r="C19" s="5"/>
      <c r="D19" s="5" t="s">
        <v>105</v>
      </c>
      <c r="E19" s="5"/>
    </row>
    <row r="20" spans="1:9" x14ac:dyDescent="0.25">
      <c r="A20" s="5" t="s">
        <v>388</v>
      </c>
      <c r="B20" s="5"/>
      <c r="C20" s="5"/>
      <c r="D20" s="5" t="s">
        <v>105</v>
      </c>
      <c r="E20" s="5"/>
    </row>
    <row r="21" spans="1:9" x14ac:dyDescent="0.25">
      <c r="A21" s="5" t="s">
        <v>389</v>
      </c>
      <c r="B21" s="5"/>
      <c r="C21" s="5"/>
      <c r="D21" s="5" t="s">
        <v>105</v>
      </c>
      <c r="E21" s="5"/>
    </row>
    <row r="22" spans="1:9" x14ac:dyDescent="0.25">
      <c r="A22" s="5" t="s">
        <v>337</v>
      </c>
      <c r="B22" s="5"/>
      <c r="C22" s="5"/>
      <c r="D22" s="5" t="s">
        <v>105</v>
      </c>
      <c r="E22" s="5"/>
    </row>
    <row r="23" spans="1:9" x14ac:dyDescent="0.25">
      <c r="A23" s="5" t="s">
        <v>338</v>
      </c>
      <c r="B23" s="5"/>
      <c r="C23" s="5"/>
      <c r="D23" s="5" t="s">
        <v>105</v>
      </c>
      <c r="E23" s="5"/>
    </row>
    <row r="24" spans="1:9" x14ac:dyDescent="0.25">
      <c r="A24" s="5" t="s">
        <v>339</v>
      </c>
      <c r="B24" s="5"/>
      <c r="C24" s="5"/>
      <c r="D24" s="5" t="s">
        <v>105</v>
      </c>
      <c r="E24" s="5"/>
    </row>
    <row r="25" spans="1:9" ht="15.75" x14ac:dyDescent="0.25">
      <c r="A25" s="24" t="s">
        <v>405</v>
      </c>
      <c r="B25" s="25"/>
      <c r="C25" s="25"/>
      <c r="D25" s="25"/>
      <c r="E25" s="25"/>
    </row>
    <row r="26" spans="1:9" x14ac:dyDescent="0.25">
      <c r="A26" s="19" t="s">
        <v>331</v>
      </c>
      <c r="B26" s="14" t="s">
        <v>100</v>
      </c>
      <c r="C26" s="14" t="s">
        <v>101</v>
      </c>
      <c r="D26" s="14" t="s">
        <v>102</v>
      </c>
      <c r="E26" s="14" t="s">
        <v>103</v>
      </c>
    </row>
    <row r="27" spans="1:9" x14ac:dyDescent="0.25">
      <c r="A27" s="5" t="s">
        <v>340</v>
      </c>
      <c r="B27" s="5"/>
      <c r="C27" s="5"/>
      <c r="D27" s="5" t="s">
        <v>105</v>
      </c>
      <c r="E27" s="5"/>
    </row>
    <row r="28" spans="1:9" x14ac:dyDescent="0.25">
      <c r="A28" s="5" t="s">
        <v>341</v>
      </c>
      <c r="B28" s="5"/>
      <c r="C28" s="5"/>
      <c r="D28" s="5" t="s">
        <v>105</v>
      </c>
      <c r="E28" s="5"/>
      <c r="I28" s="33" t="s">
        <v>391</v>
      </c>
    </row>
    <row r="29" spans="1:9" x14ac:dyDescent="0.25">
      <c r="A29" s="5" t="s">
        <v>342</v>
      </c>
      <c r="B29" s="5"/>
      <c r="C29" s="5"/>
      <c r="D29" s="5" t="s">
        <v>105</v>
      </c>
      <c r="E29" s="5"/>
      <c r="I29" s="33" t="s">
        <v>392</v>
      </c>
    </row>
    <row r="30" spans="1:9" x14ac:dyDescent="0.25">
      <c r="A30" s="5" t="s">
        <v>390</v>
      </c>
      <c r="B30" s="5"/>
      <c r="C30" s="5"/>
      <c r="D30" s="5" t="s">
        <v>105</v>
      </c>
      <c r="E30" s="5"/>
      <c r="I30" s="33" t="s">
        <v>393</v>
      </c>
    </row>
    <row r="31" spans="1:9" x14ac:dyDescent="0.25">
      <c r="A31" s="19" t="s">
        <v>336</v>
      </c>
      <c r="B31" s="14" t="s">
        <v>100</v>
      </c>
      <c r="C31" s="14" t="s">
        <v>101</v>
      </c>
      <c r="D31" s="14" t="s">
        <v>102</v>
      </c>
      <c r="E31" s="14" t="s">
        <v>103</v>
      </c>
      <c r="I31" s="33" t="s">
        <v>394</v>
      </c>
    </row>
    <row r="32" spans="1:9" x14ac:dyDescent="0.25">
      <c r="A32" s="35" t="s">
        <v>391</v>
      </c>
      <c r="B32" s="34"/>
      <c r="C32" s="34"/>
      <c r="D32" s="5" t="s">
        <v>105</v>
      </c>
      <c r="E32" s="34"/>
      <c r="I32" s="33"/>
    </row>
    <row r="33" spans="1:9" x14ac:dyDescent="0.25">
      <c r="A33" s="35" t="s">
        <v>392</v>
      </c>
      <c r="B33" s="34"/>
      <c r="C33" s="34"/>
      <c r="D33" s="5" t="s">
        <v>105</v>
      </c>
      <c r="E33" s="34"/>
      <c r="I33" s="33"/>
    </row>
    <row r="34" spans="1:9" x14ac:dyDescent="0.25">
      <c r="A34" s="35" t="s">
        <v>393</v>
      </c>
      <c r="B34" s="34"/>
      <c r="C34" s="34"/>
      <c r="D34" s="5" t="s">
        <v>105</v>
      </c>
      <c r="E34" s="34"/>
      <c r="I34" s="33"/>
    </row>
    <row r="35" spans="1:9" x14ac:dyDescent="0.25">
      <c r="A35" s="35" t="s">
        <v>394</v>
      </c>
      <c r="B35" s="34"/>
      <c r="C35" s="34"/>
      <c r="D35" s="5" t="s">
        <v>105</v>
      </c>
      <c r="E35" s="34"/>
      <c r="I35" s="33"/>
    </row>
    <row r="36" spans="1:9" x14ac:dyDescent="0.25">
      <c r="A36" s="35" t="s">
        <v>395</v>
      </c>
      <c r="B36" s="34"/>
      <c r="C36" s="34"/>
      <c r="D36" s="5" t="s">
        <v>105</v>
      </c>
      <c r="E36" s="34"/>
      <c r="I36" s="33"/>
    </row>
    <row r="37" spans="1:9" x14ac:dyDescent="0.25">
      <c r="A37" s="35" t="s">
        <v>396</v>
      </c>
      <c r="B37" s="34"/>
      <c r="C37" s="34"/>
      <c r="D37" s="5" t="s">
        <v>105</v>
      </c>
      <c r="E37" s="34"/>
      <c r="I37" s="33"/>
    </row>
    <row r="38" spans="1:9" x14ac:dyDescent="0.25">
      <c r="A38" s="35" t="s">
        <v>397</v>
      </c>
      <c r="B38" s="34"/>
      <c r="C38" s="34"/>
      <c r="D38" s="5" t="s">
        <v>105</v>
      </c>
      <c r="E38" s="34"/>
      <c r="I38" s="33"/>
    </row>
    <row r="39" spans="1:9" x14ac:dyDescent="0.25">
      <c r="A39" s="35" t="s">
        <v>398</v>
      </c>
      <c r="B39" s="34"/>
      <c r="C39" s="34"/>
      <c r="D39" s="5" t="s">
        <v>105</v>
      </c>
      <c r="E39" s="34"/>
      <c r="I39" s="33"/>
    </row>
    <row r="40" spans="1:9" x14ac:dyDescent="0.25">
      <c r="A40" s="35" t="s">
        <v>399</v>
      </c>
      <c r="B40" s="34"/>
      <c r="C40" s="34"/>
      <c r="D40" s="5" t="s">
        <v>105</v>
      </c>
      <c r="E40" s="34"/>
      <c r="I40" s="33"/>
    </row>
    <row r="41" spans="1:9" x14ac:dyDescent="0.25">
      <c r="A41" s="5" t="s">
        <v>400</v>
      </c>
      <c r="B41" s="5"/>
      <c r="C41" s="5"/>
      <c r="D41" s="5" t="s">
        <v>105</v>
      </c>
      <c r="E41" s="5"/>
      <c r="I41" s="33" t="s">
        <v>395</v>
      </c>
    </row>
    <row r="42" spans="1:9" x14ac:dyDescent="0.25">
      <c r="A42" s="5" t="s">
        <v>401</v>
      </c>
      <c r="B42" s="5"/>
      <c r="C42" s="5"/>
      <c r="D42" s="5" t="s">
        <v>105</v>
      </c>
      <c r="E42" s="5"/>
      <c r="I42" s="33"/>
    </row>
    <row r="43" spans="1:9" x14ac:dyDescent="0.25">
      <c r="A43" s="5" t="s">
        <v>402</v>
      </c>
      <c r="B43" s="5"/>
      <c r="C43" s="5"/>
      <c r="D43" s="5" t="s">
        <v>105</v>
      </c>
      <c r="E43" s="5"/>
      <c r="I43" s="33"/>
    </row>
    <row r="44" spans="1:9" x14ac:dyDescent="0.25">
      <c r="A44" s="5" t="s">
        <v>403</v>
      </c>
      <c r="B44" s="5"/>
      <c r="C44" s="5"/>
      <c r="D44" s="5" t="s">
        <v>105</v>
      </c>
      <c r="E44" s="5"/>
      <c r="I44" s="33"/>
    </row>
    <row r="45" spans="1:9" x14ac:dyDescent="0.25">
      <c r="A45" s="5" t="s">
        <v>404</v>
      </c>
      <c r="B45" s="5"/>
      <c r="C45" s="5"/>
      <c r="D45" s="5" t="s">
        <v>105</v>
      </c>
      <c r="E45" s="5"/>
      <c r="I45" s="33"/>
    </row>
    <row r="46" spans="1:9" ht="15.75" x14ac:dyDescent="0.25">
      <c r="A46" s="24" t="s">
        <v>406</v>
      </c>
      <c r="B46" s="25"/>
      <c r="C46" s="25"/>
      <c r="D46" s="25"/>
      <c r="E46" s="25"/>
    </row>
    <row r="47" spans="1:9" x14ac:dyDescent="0.25">
      <c r="A47" s="14" t="s">
        <v>331</v>
      </c>
      <c r="B47" s="14" t="s">
        <v>100</v>
      </c>
      <c r="C47" s="14" t="s">
        <v>101</v>
      </c>
      <c r="D47" s="14" t="s">
        <v>102</v>
      </c>
      <c r="E47" s="14" t="s">
        <v>103</v>
      </c>
    </row>
    <row r="48" spans="1:9" x14ac:dyDescent="0.25">
      <c r="A48" s="5" t="s">
        <v>344</v>
      </c>
      <c r="B48" s="5"/>
      <c r="C48" s="5"/>
      <c r="D48" s="5" t="s">
        <v>105</v>
      </c>
      <c r="E48" s="5"/>
    </row>
    <row r="49" spans="1:5" x14ac:dyDescent="0.25">
      <c r="A49" s="5" t="s">
        <v>407</v>
      </c>
      <c r="B49" s="5"/>
      <c r="C49" s="5"/>
      <c r="D49" s="5" t="s">
        <v>105</v>
      </c>
      <c r="E49" s="5"/>
    </row>
    <row r="50" spans="1:5" x14ac:dyDescent="0.25">
      <c r="A50" s="5" t="s">
        <v>408</v>
      </c>
      <c r="B50" s="5"/>
      <c r="C50" s="5"/>
      <c r="D50" s="5" t="s">
        <v>105</v>
      </c>
      <c r="E50" s="5"/>
    </row>
    <row r="51" spans="1:5" x14ac:dyDescent="0.25">
      <c r="A51" s="5" t="s">
        <v>345</v>
      </c>
      <c r="B51" s="5"/>
      <c r="C51" s="5"/>
      <c r="D51" s="5" t="s">
        <v>105</v>
      </c>
      <c r="E51" s="5"/>
    </row>
    <row r="52" spans="1:5" x14ac:dyDescent="0.25">
      <c r="A52" s="19" t="s">
        <v>336</v>
      </c>
      <c r="B52" s="14" t="s">
        <v>100</v>
      </c>
      <c r="C52" s="14" t="s">
        <v>101</v>
      </c>
      <c r="D52" s="14" t="s">
        <v>102</v>
      </c>
      <c r="E52" s="14" t="s">
        <v>103</v>
      </c>
    </row>
    <row r="53" spans="1:5" x14ac:dyDescent="0.25">
      <c r="A53" s="5" t="s">
        <v>409</v>
      </c>
      <c r="B53" s="5"/>
      <c r="C53" s="5"/>
      <c r="D53" s="5" t="s">
        <v>105</v>
      </c>
      <c r="E53" s="5"/>
    </row>
    <row r="54" spans="1:5" x14ac:dyDescent="0.25">
      <c r="A54" s="5" t="s">
        <v>410</v>
      </c>
      <c r="B54" s="5"/>
      <c r="C54" s="5"/>
      <c r="D54" s="5" t="s">
        <v>105</v>
      </c>
      <c r="E54" s="5"/>
    </row>
    <row r="55" spans="1:5" x14ac:dyDescent="0.25">
      <c r="A55" s="5" t="s">
        <v>411</v>
      </c>
      <c r="B55" s="5"/>
      <c r="C55" s="5"/>
      <c r="D55" s="5" t="s">
        <v>105</v>
      </c>
      <c r="E55" s="5"/>
    </row>
    <row r="56" spans="1:5" x14ac:dyDescent="0.25">
      <c r="A56" s="5" t="s">
        <v>412</v>
      </c>
      <c r="B56" s="5"/>
      <c r="C56" s="5"/>
      <c r="D56" s="5" t="s">
        <v>105</v>
      </c>
      <c r="E56" s="5"/>
    </row>
    <row r="57" spans="1:5" x14ac:dyDescent="0.25">
      <c r="A57" s="5" t="s">
        <v>413</v>
      </c>
      <c r="B57" s="5"/>
      <c r="C57" s="5"/>
      <c r="D57" s="5" t="s">
        <v>105</v>
      </c>
      <c r="E57" s="5"/>
    </row>
    <row r="58" spans="1:5" x14ac:dyDescent="0.25">
      <c r="A58" s="5" t="s">
        <v>414</v>
      </c>
      <c r="B58" s="5"/>
      <c r="C58" s="5"/>
      <c r="D58" s="5" t="s">
        <v>105</v>
      </c>
      <c r="E58" s="5"/>
    </row>
    <row r="59" spans="1:5" x14ac:dyDescent="0.25">
      <c r="A59" s="5" t="s">
        <v>415</v>
      </c>
      <c r="B59" s="5"/>
      <c r="C59" s="5"/>
      <c r="D59" s="5" t="s">
        <v>105</v>
      </c>
      <c r="E59" s="5"/>
    </row>
    <row r="60" spans="1:5" x14ac:dyDescent="0.25">
      <c r="A60" s="5" t="s">
        <v>416</v>
      </c>
      <c r="B60" s="5"/>
      <c r="C60" s="5"/>
      <c r="D60" s="5" t="s">
        <v>105</v>
      </c>
      <c r="E60" s="5"/>
    </row>
    <row r="61" spans="1:5" x14ac:dyDescent="0.25">
      <c r="A61" s="5" t="s">
        <v>417</v>
      </c>
      <c r="B61" s="5"/>
      <c r="C61" s="5"/>
      <c r="D61" s="5" t="s">
        <v>105</v>
      </c>
      <c r="E61" s="5"/>
    </row>
    <row r="62" spans="1:5" x14ac:dyDescent="0.25">
      <c r="A62" s="5" t="s">
        <v>418</v>
      </c>
      <c r="B62" s="5"/>
      <c r="C62" s="5"/>
      <c r="D62" s="5" t="s">
        <v>105</v>
      </c>
      <c r="E62" s="5"/>
    </row>
    <row r="63" spans="1:5" x14ac:dyDescent="0.25">
      <c r="A63" s="5" t="s">
        <v>419</v>
      </c>
      <c r="B63" s="5"/>
      <c r="C63" s="5"/>
      <c r="D63" s="5" t="s">
        <v>105</v>
      </c>
      <c r="E63" s="5"/>
    </row>
    <row r="64" spans="1:5" x14ac:dyDescent="0.25">
      <c r="A64" s="5" t="s">
        <v>420</v>
      </c>
      <c r="B64" s="5"/>
      <c r="C64" s="5"/>
      <c r="D64" s="5" t="s">
        <v>105</v>
      </c>
      <c r="E64" s="5"/>
    </row>
    <row r="65" spans="1:5" x14ac:dyDescent="0.25">
      <c r="A65" s="5" t="s">
        <v>421</v>
      </c>
      <c r="B65" s="5"/>
      <c r="C65" s="5"/>
      <c r="D65" s="5" t="s">
        <v>105</v>
      </c>
      <c r="E65" s="5"/>
    </row>
    <row r="66" spans="1:5" x14ac:dyDescent="0.25">
      <c r="A66" s="5" t="s">
        <v>422</v>
      </c>
      <c r="B66" s="5"/>
      <c r="C66" s="5"/>
      <c r="D66" s="5" t="s">
        <v>105</v>
      </c>
      <c r="E66" s="5"/>
    </row>
    <row r="67" spans="1:5" ht="15.75" x14ac:dyDescent="0.25">
      <c r="A67" s="24" t="s">
        <v>423</v>
      </c>
      <c r="B67" s="25"/>
      <c r="C67" s="25"/>
      <c r="D67" s="25"/>
      <c r="E67" s="25"/>
    </row>
    <row r="68" spans="1:5" x14ac:dyDescent="0.25">
      <c r="A68" s="19" t="s">
        <v>346</v>
      </c>
      <c r="B68" s="14" t="s">
        <v>100</v>
      </c>
      <c r="C68" s="14" t="s">
        <v>101</v>
      </c>
      <c r="D68" s="14" t="s">
        <v>102</v>
      </c>
      <c r="E68" s="14" t="s">
        <v>103</v>
      </c>
    </row>
    <row r="69" spans="1:5" x14ac:dyDescent="0.25">
      <c r="A69" s="5" t="s">
        <v>347</v>
      </c>
      <c r="B69" s="5"/>
      <c r="C69" s="5"/>
      <c r="D69" s="5" t="s">
        <v>105</v>
      </c>
      <c r="E69" s="5"/>
    </row>
    <row r="70" spans="1:5" x14ac:dyDescent="0.25">
      <c r="A70" s="5" t="s">
        <v>348</v>
      </c>
      <c r="B70" s="5"/>
      <c r="C70" s="5"/>
      <c r="D70" s="5" t="s">
        <v>105</v>
      </c>
      <c r="E70" s="5"/>
    </row>
    <row r="71" spans="1:5" x14ac:dyDescent="0.25">
      <c r="A71" s="5" t="s">
        <v>349</v>
      </c>
      <c r="B71" s="5"/>
      <c r="C71" s="5"/>
      <c r="D71" s="5" t="s">
        <v>105</v>
      </c>
      <c r="E71" s="5"/>
    </row>
    <row r="72" spans="1:5" x14ac:dyDescent="0.25">
      <c r="A72" s="5" t="s">
        <v>350</v>
      </c>
      <c r="B72" s="5"/>
      <c r="C72" s="5"/>
      <c r="D72" s="5" t="s">
        <v>105</v>
      </c>
      <c r="E72" s="5"/>
    </row>
    <row r="73" spans="1:5" x14ac:dyDescent="0.25">
      <c r="A73" s="5" t="s">
        <v>351</v>
      </c>
      <c r="B73" s="5"/>
      <c r="C73" s="5"/>
      <c r="D73" s="5" t="s">
        <v>105</v>
      </c>
      <c r="E73" s="5"/>
    </row>
    <row r="74" spans="1:5" ht="15.75" x14ac:dyDescent="0.25">
      <c r="A74" s="30" t="s">
        <v>352</v>
      </c>
      <c r="B74" s="30"/>
    </row>
    <row r="75" spans="1:5" x14ac:dyDescent="0.25">
      <c r="A75" s="5" t="s">
        <v>353</v>
      </c>
      <c r="B75" s="5" t="s">
        <v>358</v>
      </c>
    </row>
    <row r="76" spans="1:5" x14ac:dyDescent="0.25">
      <c r="A76" s="5" t="s">
        <v>354</v>
      </c>
      <c r="B76" s="5"/>
    </row>
    <row r="77" spans="1:5" x14ac:dyDescent="0.25">
      <c r="A77" s="5" t="s">
        <v>355</v>
      </c>
      <c r="B77" s="5" t="s">
        <v>357</v>
      </c>
    </row>
    <row r="78" spans="1:5" x14ac:dyDescent="0.25">
      <c r="A78" s="5" t="s">
        <v>356</v>
      </c>
      <c r="B78" s="5" t="s">
        <v>359</v>
      </c>
    </row>
  </sheetData>
  <mergeCells count="6">
    <mergeCell ref="A74:B74"/>
    <mergeCell ref="A1:E1"/>
    <mergeCell ref="A3:E3"/>
    <mergeCell ref="A25:E25"/>
    <mergeCell ref="A46:E46"/>
    <mergeCell ref="A67:E67"/>
  </mergeCells>
  <dataValidations count="1">
    <dataValidation type="list" allowBlank="1" sqref="D27:D30 D5:D9 D48:D51 D69:D73 D11:D24 D32:D45 D53:D66" xr:uid="{00000000-0002-0000-0400-000000000000}">
      <formula1>"Not Started,In Progress,Completed"</formula1>
    </dataValidation>
  </dataValidations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workbookViewId="0">
      <selection activeCell="H6" sqref="H6"/>
    </sheetView>
  </sheetViews>
  <sheetFormatPr defaultRowHeight="15" x14ac:dyDescent="0.25"/>
  <cols>
    <col min="1" max="1" width="15" customWidth="1"/>
    <col min="2" max="2" width="30" customWidth="1"/>
    <col min="3" max="4" width="15" customWidth="1"/>
    <col min="5" max="5" width="12" customWidth="1"/>
    <col min="6" max="6" width="35" customWidth="1"/>
  </cols>
  <sheetData>
    <row r="1" spans="1:6" ht="18.75" x14ac:dyDescent="0.3">
      <c r="A1" s="26" t="s">
        <v>141</v>
      </c>
      <c r="B1" s="27"/>
      <c r="C1" s="27"/>
      <c r="D1" s="27"/>
      <c r="E1" s="27"/>
      <c r="F1" s="27"/>
    </row>
    <row r="3" spans="1:6" ht="15.75" x14ac:dyDescent="0.25">
      <c r="A3" s="6" t="s">
        <v>142</v>
      </c>
      <c r="B3" s="6" t="s">
        <v>143</v>
      </c>
      <c r="C3" s="6" t="s">
        <v>144</v>
      </c>
      <c r="D3" s="6" t="s">
        <v>145</v>
      </c>
      <c r="E3" s="6" t="s">
        <v>146</v>
      </c>
      <c r="F3" s="6" t="s">
        <v>147</v>
      </c>
    </row>
    <row r="4" spans="1:6" x14ac:dyDescent="0.25">
      <c r="A4" s="5" t="s">
        <v>148</v>
      </c>
      <c r="B4" s="5" t="s">
        <v>149</v>
      </c>
      <c r="C4" s="5">
        <v>1</v>
      </c>
      <c r="D4" s="5">
        <v>1</v>
      </c>
      <c r="E4" s="5">
        <f t="shared" ref="E4:E16" si="0">C4*D4</f>
        <v>1</v>
      </c>
      <c r="F4" s="5"/>
    </row>
    <row r="5" spans="1:6" x14ac:dyDescent="0.25">
      <c r="A5" s="5" t="s">
        <v>148</v>
      </c>
      <c r="B5" s="5" t="s">
        <v>150</v>
      </c>
      <c r="C5" s="5">
        <v>1</v>
      </c>
      <c r="D5" s="5">
        <v>1</v>
      </c>
      <c r="E5" s="5">
        <f t="shared" si="0"/>
        <v>1</v>
      </c>
      <c r="F5" s="5"/>
    </row>
    <row r="6" spans="1:6" x14ac:dyDescent="0.25">
      <c r="A6" s="5" t="s">
        <v>148</v>
      </c>
      <c r="B6" s="5" t="s">
        <v>151</v>
      </c>
      <c r="C6" s="5">
        <v>1</v>
      </c>
      <c r="D6" s="5">
        <v>1</v>
      </c>
      <c r="E6" s="5">
        <f t="shared" si="0"/>
        <v>1</v>
      </c>
      <c r="F6" s="5"/>
    </row>
    <row r="7" spans="1:6" x14ac:dyDescent="0.25">
      <c r="A7" s="5" t="s">
        <v>148</v>
      </c>
      <c r="B7" s="5" t="s">
        <v>152</v>
      </c>
      <c r="C7" s="5">
        <v>1</v>
      </c>
      <c r="D7" s="5">
        <v>1</v>
      </c>
      <c r="E7" s="5">
        <f t="shared" si="0"/>
        <v>1</v>
      </c>
      <c r="F7" s="5"/>
    </row>
    <row r="8" spans="1:6" x14ac:dyDescent="0.25">
      <c r="A8" s="5" t="s">
        <v>153</v>
      </c>
      <c r="B8" s="5" t="s">
        <v>154</v>
      </c>
      <c r="C8" s="5">
        <v>1</v>
      </c>
      <c r="D8" s="5">
        <v>1</v>
      </c>
      <c r="E8" s="5">
        <f t="shared" si="0"/>
        <v>1</v>
      </c>
      <c r="F8" s="5"/>
    </row>
    <row r="9" spans="1:6" x14ac:dyDescent="0.25">
      <c r="A9" s="5" t="s">
        <v>153</v>
      </c>
      <c r="B9" s="5" t="s">
        <v>155</v>
      </c>
      <c r="C9" s="5">
        <v>1</v>
      </c>
      <c r="D9" s="5">
        <v>1</v>
      </c>
      <c r="E9" s="5">
        <f t="shared" si="0"/>
        <v>1</v>
      </c>
      <c r="F9" s="5"/>
    </row>
    <row r="10" spans="1:6" x14ac:dyDescent="0.25">
      <c r="A10" s="5" t="s">
        <v>153</v>
      </c>
      <c r="B10" s="5" t="s">
        <v>156</v>
      </c>
      <c r="C10" s="5">
        <v>1</v>
      </c>
      <c r="D10" s="5">
        <v>1</v>
      </c>
      <c r="E10" s="5">
        <f t="shared" si="0"/>
        <v>1</v>
      </c>
      <c r="F10" s="5"/>
    </row>
    <row r="11" spans="1:6" x14ac:dyDescent="0.25">
      <c r="A11" s="5" t="s">
        <v>157</v>
      </c>
      <c r="B11" s="5" t="s">
        <v>158</v>
      </c>
      <c r="C11" s="5">
        <v>1</v>
      </c>
      <c r="D11" s="5">
        <v>1</v>
      </c>
      <c r="E11" s="5">
        <f t="shared" si="0"/>
        <v>1</v>
      </c>
      <c r="F11" s="5"/>
    </row>
    <row r="12" spans="1:6" x14ac:dyDescent="0.25">
      <c r="A12" s="5" t="s">
        <v>157</v>
      </c>
      <c r="B12" s="5" t="s">
        <v>159</v>
      </c>
      <c r="C12" s="5">
        <v>1</v>
      </c>
      <c r="D12" s="5">
        <v>1</v>
      </c>
      <c r="E12" s="5">
        <f t="shared" si="0"/>
        <v>1</v>
      </c>
      <c r="F12" s="5"/>
    </row>
    <row r="13" spans="1:6" x14ac:dyDescent="0.25">
      <c r="A13" s="5" t="s">
        <v>157</v>
      </c>
      <c r="B13" s="5" t="s">
        <v>160</v>
      </c>
      <c r="C13" s="5">
        <v>1</v>
      </c>
      <c r="D13" s="5">
        <v>1</v>
      </c>
      <c r="E13" s="5">
        <f t="shared" si="0"/>
        <v>1</v>
      </c>
      <c r="F13" s="5"/>
    </row>
    <row r="14" spans="1:6" x14ac:dyDescent="0.25">
      <c r="A14" s="5" t="s">
        <v>161</v>
      </c>
      <c r="B14" s="5" t="s">
        <v>162</v>
      </c>
      <c r="C14" s="5">
        <v>1</v>
      </c>
      <c r="D14" s="5">
        <v>1</v>
      </c>
      <c r="E14" s="5">
        <f t="shared" si="0"/>
        <v>1</v>
      </c>
      <c r="F14" s="5"/>
    </row>
    <row r="15" spans="1:6" x14ac:dyDescent="0.25">
      <c r="A15" s="5" t="s">
        <v>161</v>
      </c>
      <c r="B15" s="5" t="s">
        <v>163</v>
      </c>
      <c r="C15" s="5">
        <v>1</v>
      </c>
      <c r="D15" s="5">
        <v>1</v>
      </c>
      <c r="E15" s="5">
        <f t="shared" si="0"/>
        <v>1</v>
      </c>
      <c r="F15" s="5"/>
    </row>
    <row r="16" spans="1:6" x14ac:dyDescent="0.25">
      <c r="A16" s="5" t="s">
        <v>161</v>
      </c>
      <c r="B16" s="5" t="s">
        <v>164</v>
      </c>
      <c r="C16" s="5">
        <v>1</v>
      </c>
      <c r="D16" s="5">
        <v>1</v>
      </c>
      <c r="E16" s="5">
        <f t="shared" si="0"/>
        <v>1</v>
      </c>
      <c r="F16" s="5"/>
    </row>
  </sheetData>
  <mergeCells count="1">
    <mergeCell ref="A1:F1"/>
  </mergeCells>
  <dataValidations count="1">
    <dataValidation type="whole" sqref="C4:D16" xr:uid="{00000000-0002-0000-0600-000000000000}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>
      <selection activeCell="K37" sqref="K37"/>
    </sheetView>
  </sheetViews>
  <sheetFormatPr defaultRowHeight="15" x14ac:dyDescent="0.25"/>
  <cols>
    <col min="1" max="1" width="39.42578125" customWidth="1"/>
    <col min="2" max="6" width="15" customWidth="1"/>
  </cols>
  <sheetData>
    <row r="1" spans="1:6" ht="18.75" x14ac:dyDescent="0.3">
      <c r="A1" s="26" t="s">
        <v>165</v>
      </c>
      <c r="B1" s="27"/>
      <c r="C1" s="27"/>
      <c r="D1" s="27"/>
      <c r="E1" s="27"/>
      <c r="F1" s="27"/>
    </row>
    <row r="3" spans="1:6" ht="15.75" x14ac:dyDescent="0.25">
      <c r="A3" s="28" t="s">
        <v>166</v>
      </c>
      <c r="B3" s="25"/>
      <c r="C3" s="25"/>
      <c r="D3" s="25"/>
      <c r="E3" s="25"/>
      <c r="F3" s="25"/>
    </row>
    <row r="4" spans="1:6" x14ac:dyDescent="0.25">
      <c r="A4" s="31" t="s">
        <v>167</v>
      </c>
      <c r="B4" s="25"/>
      <c r="C4" s="25"/>
      <c r="D4" s="25"/>
      <c r="E4" s="25"/>
      <c r="F4" s="25"/>
    </row>
    <row r="5" spans="1:6" x14ac:dyDescent="0.25">
      <c r="A5" s="17" t="s">
        <v>168</v>
      </c>
      <c r="B5" s="17" t="s">
        <v>169</v>
      </c>
      <c r="C5" s="17" t="s">
        <v>170</v>
      </c>
      <c r="D5" s="17" t="s">
        <v>171</v>
      </c>
      <c r="E5" s="17" t="s">
        <v>172</v>
      </c>
      <c r="F5" s="17" t="s">
        <v>173</v>
      </c>
    </row>
    <row r="6" spans="1:6" x14ac:dyDescent="0.25">
      <c r="A6" s="5" t="s">
        <v>174</v>
      </c>
      <c r="B6" s="5"/>
      <c r="C6" s="5"/>
      <c r="D6" s="5"/>
      <c r="E6" s="5"/>
      <c r="F6" s="5"/>
    </row>
    <row r="7" spans="1:6" x14ac:dyDescent="0.25">
      <c r="A7" s="5" t="s">
        <v>175</v>
      </c>
      <c r="B7" s="5"/>
      <c r="C7" s="5"/>
      <c r="D7" s="5"/>
      <c r="E7" s="5"/>
      <c r="F7" s="5"/>
    </row>
    <row r="8" spans="1:6" x14ac:dyDescent="0.25">
      <c r="A8" s="5" t="s">
        <v>176</v>
      </c>
      <c r="B8" s="5"/>
      <c r="C8" s="5"/>
      <c r="D8" s="5"/>
      <c r="E8" s="5"/>
      <c r="F8" s="5"/>
    </row>
    <row r="9" spans="1:6" x14ac:dyDescent="0.25">
      <c r="A9" s="5" t="s">
        <v>177</v>
      </c>
      <c r="B9" s="5"/>
      <c r="C9" s="5"/>
      <c r="D9" s="5"/>
      <c r="E9" s="5"/>
      <c r="F9" s="5"/>
    </row>
    <row r="10" spans="1:6" x14ac:dyDescent="0.25">
      <c r="A10" s="31" t="s">
        <v>178</v>
      </c>
      <c r="B10" s="25"/>
      <c r="C10" s="25"/>
      <c r="D10" s="25"/>
      <c r="E10" s="25"/>
      <c r="F10" s="25"/>
    </row>
    <row r="11" spans="1:6" x14ac:dyDescent="0.25">
      <c r="A11" s="17" t="s">
        <v>168</v>
      </c>
      <c r="B11" s="17" t="s">
        <v>169</v>
      </c>
      <c r="C11" s="17" t="s">
        <v>170</v>
      </c>
      <c r="D11" s="17" t="s">
        <v>171</v>
      </c>
      <c r="E11" s="17" t="s">
        <v>172</v>
      </c>
      <c r="F11" s="17" t="s">
        <v>173</v>
      </c>
    </row>
    <row r="12" spans="1:6" x14ac:dyDescent="0.25">
      <c r="A12" s="5" t="s">
        <v>179</v>
      </c>
      <c r="B12" s="5"/>
      <c r="C12" s="5"/>
      <c r="D12" s="5"/>
      <c r="E12" s="5"/>
      <c r="F12" s="5"/>
    </row>
    <row r="13" spans="1:6" x14ac:dyDescent="0.25">
      <c r="A13" s="5" t="s">
        <v>180</v>
      </c>
      <c r="B13" s="5"/>
      <c r="C13" s="5"/>
      <c r="D13" s="5"/>
      <c r="E13" s="5"/>
      <c r="F13" s="5"/>
    </row>
    <row r="14" spans="1:6" x14ac:dyDescent="0.25">
      <c r="A14" s="5" t="s">
        <v>181</v>
      </c>
      <c r="B14" s="5"/>
      <c r="C14" s="5"/>
      <c r="D14" s="5"/>
      <c r="E14" s="5"/>
      <c r="F14" s="5"/>
    </row>
    <row r="15" spans="1:6" x14ac:dyDescent="0.25">
      <c r="A15" s="5" t="s">
        <v>182</v>
      </c>
      <c r="B15" s="5"/>
      <c r="C15" s="5"/>
      <c r="D15" s="5"/>
      <c r="E15" s="5"/>
      <c r="F15" s="5"/>
    </row>
    <row r="16" spans="1:6" x14ac:dyDescent="0.25">
      <c r="A16" s="31" t="s">
        <v>183</v>
      </c>
      <c r="B16" s="25"/>
      <c r="C16" s="25"/>
      <c r="D16" s="25"/>
      <c r="E16" s="25"/>
      <c r="F16" s="25"/>
    </row>
    <row r="17" spans="1:6" x14ac:dyDescent="0.25">
      <c r="A17" s="17" t="s">
        <v>168</v>
      </c>
      <c r="B17" s="17" t="s">
        <v>169</v>
      </c>
      <c r="C17" s="17" t="s">
        <v>170</v>
      </c>
      <c r="D17" s="17" t="s">
        <v>171</v>
      </c>
      <c r="E17" s="17" t="s">
        <v>172</v>
      </c>
      <c r="F17" s="17" t="s">
        <v>173</v>
      </c>
    </row>
    <row r="18" spans="1:6" x14ac:dyDescent="0.25">
      <c r="A18" s="5" t="s">
        <v>184</v>
      </c>
      <c r="B18" s="5"/>
      <c r="C18" s="5"/>
      <c r="D18" s="5"/>
      <c r="E18" s="5"/>
      <c r="F18" s="5"/>
    </row>
    <row r="19" spans="1:6" x14ac:dyDescent="0.25">
      <c r="A19" s="5" t="s">
        <v>185</v>
      </c>
      <c r="B19" s="5"/>
      <c r="C19" s="5"/>
      <c r="D19" s="5"/>
      <c r="E19" s="5"/>
      <c r="F19" s="5"/>
    </row>
    <row r="20" spans="1:6" x14ac:dyDescent="0.25">
      <c r="A20" s="5" t="s">
        <v>186</v>
      </c>
      <c r="B20" s="5"/>
      <c r="C20" s="5"/>
      <c r="D20" s="5"/>
      <c r="E20" s="5"/>
      <c r="F20" s="5"/>
    </row>
    <row r="21" spans="1:6" x14ac:dyDescent="0.25">
      <c r="A21" s="5" t="s">
        <v>187</v>
      </c>
      <c r="B21" s="5"/>
      <c r="C21" s="5"/>
      <c r="D21" s="5"/>
      <c r="E21" s="5"/>
      <c r="F21" s="5"/>
    </row>
    <row r="23" spans="1:6" ht="15.75" x14ac:dyDescent="0.25">
      <c r="A23" s="32" t="s">
        <v>366</v>
      </c>
      <c r="B23" s="32"/>
    </row>
    <row r="24" spans="1:6" x14ac:dyDescent="0.25">
      <c r="A24" s="5" t="s">
        <v>368</v>
      </c>
      <c r="B24" s="5"/>
    </row>
    <row r="25" spans="1:6" x14ac:dyDescent="0.25">
      <c r="A25" s="5" t="s">
        <v>369</v>
      </c>
      <c r="B25" s="5"/>
    </row>
    <row r="26" spans="1:6" x14ac:dyDescent="0.25">
      <c r="A26" s="5" t="s">
        <v>370</v>
      </c>
      <c r="B26" s="5"/>
    </row>
    <row r="27" spans="1:6" x14ac:dyDescent="0.25">
      <c r="A27" s="5" t="s">
        <v>371</v>
      </c>
      <c r="B27" s="5"/>
    </row>
    <row r="28" spans="1:6" x14ac:dyDescent="0.25">
      <c r="A28" s="5" t="s">
        <v>372</v>
      </c>
      <c r="B28" s="5"/>
    </row>
    <row r="30" spans="1:6" ht="15.75" x14ac:dyDescent="0.25">
      <c r="A30" s="32" t="s">
        <v>367</v>
      </c>
      <c r="B30" s="32"/>
    </row>
    <row r="31" spans="1:6" x14ac:dyDescent="0.25">
      <c r="A31" s="5" t="s">
        <v>373</v>
      </c>
      <c r="B31" s="5"/>
    </row>
    <row r="32" spans="1:6" x14ac:dyDescent="0.25">
      <c r="A32" s="5" t="s">
        <v>374</v>
      </c>
      <c r="B32" s="5"/>
    </row>
    <row r="33" spans="1:2" x14ac:dyDescent="0.25">
      <c r="A33" s="5" t="s">
        <v>375</v>
      </c>
      <c r="B33" s="5"/>
    </row>
    <row r="34" spans="1:2" x14ac:dyDescent="0.25">
      <c r="A34" s="5" t="s">
        <v>376</v>
      </c>
      <c r="B34" s="5"/>
    </row>
    <row r="36" spans="1:2" ht="15.75" x14ac:dyDescent="0.25">
      <c r="A36" s="32" t="s">
        <v>365</v>
      </c>
      <c r="B36" s="32"/>
    </row>
    <row r="37" spans="1:2" s="21" customFormat="1" ht="45" x14ac:dyDescent="0.25">
      <c r="A37" s="20" t="s">
        <v>377</v>
      </c>
      <c r="B37" s="20"/>
    </row>
    <row r="38" spans="1:2" x14ac:dyDescent="0.25">
      <c r="A38" s="5" t="s">
        <v>378</v>
      </c>
      <c r="B38" s="5"/>
    </row>
    <row r="39" spans="1:2" x14ac:dyDescent="0.25">
      <c r="A39" s="5" t="s">
        <v>379</v>
      </c>
      <c r="B39" s="5"/>
    </row>
    <row r="40" spans="1:2" x14ac:dyDescent="0.25">
      <c r="A40" s="5" t="s">
        <v>380</v>
      </c>
      <c r="B40" s="5"/>
    </row>
    <row r="41" spans="1:2" x14ac:dyDescent="0.25">
      <c r="A41" s="5" t="s">
        <v>381</v>
      </c>
      <c r="B41" s="5"/>
    </row>
    <row r="42" spans="1:2" x14ac:dyDescent="0.25">
      <c r="A42" s="5" t="s">
        <v>382</v>
      </c>
      <c r="B42" s="5"/>
    </row>
  </sheetData>
  <mergeCells count="8">
    <mergeCell ref="A1:F1"/>
    <mergeCell ref="A4:F4"/>
    <mergeCell ref="A3:F3"/>
    <mergeCell ref="A36:B36"/>
    <mergeCell ref="A23:B23"/>
    <mergeCell ref="A30:B30"/>
    <mergeCell ref="A16:F16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Contract Review</vt:lpstr>
      <vt:lpstr>Financial Assessment</vt:lpstr>
      <vt:lpstr>Emergency Fund Calculator</vt:lpstr>
      <vt:lpstr>Monthly Budget</vt:lpstr>
      <vt:lpstr>Time Audit</vt:lpstr>
      <vt:lpstr>Transition Timeline</vt:lpstr>
      <vt:lpstr>Risk Assessment</vt:lpstr>
      <vt:lpstr>Goal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BRUNDA GOWRAV</cp:lastModifiedBy>
  <dcterms:created xsi:type="dcterms:W3CDTF">2025-06-24T02:00:54Z</dcterms:created>
  <dcterms:modified xsi:type="dcterms:W3CDTF">2025-08-29T06:05:08Z</dcterms:modified>
</cp:coreProperties>
</file>