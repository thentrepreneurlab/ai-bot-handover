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1 Templates/"/>
    </mc:Choice>
  </mc:AlternateContent>
  <xr:revisionPtr revIDLastSave="75" documentId="11_A55A4F06E54CEEECCE7CF11810926BC8990A5BCA" xr6:coauthVersionLast="47" xr6:coauthVersionMax="47" xr10:uidLastSave="{3DCEB5F2-FE95-4CCB-A4E5-32429449AED9}"/>
  <bookViews>
    <workbookView xWindow="-120" yWindow="-120" windowWidth="29040" windowHeight="15840" activeTab="2" xr2:uid="{00000000-000D-0000-FFFF-FFFF00000000}"/>
  </bookViews>
  <sheets>
    <sheet name="Instructions &amp; Overview" sheetId="1" r:id="rId1"/>
    <sheet name="Entrepreneurial Readiness" sheetId="2" r:id="rId2"/>
    <sheet name="Mindset Assessment" sheetId="3" r:id="rId3"/>
    <sheet name="Values &amp; Purpose" sheetId="4" r:id="rId4"/>
    <sheet name="Results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3" l="1"/>
  <c r="A47" i="3" s="1"/>
  <c r="B10" i="5" s="1"/>
  <c r="B49" i="4"/>
  <c r="B16" i="5" s="1"/>
  <c r="B48" i="4"/>
  <c r="B15" i="5" s="1"/>
  <c r="B47" i="4"/>
  <c r="B14" i="5" s="1"/>
  <c r="C41" i="2"/>
  <c r="C40" i="2"/>
  <c r="C39" i="2"/>
  <c r="C38" i="2"/>
  <c r="C43" i="2" s="1"/>
  <c r="B5" i="5" s="1"/>
  <c r="B6" i="5" s="1"/>
</calcChain>
</file>

<file path=xl/sharedStrings.xml><?xml version="1.0" encoding="utf-8"?>
<sst xmlns="http://schemas.openxmlformats.org/spreadsheetml/2006/main" count="153" uniqueCount="144">
  <si>
    <t>Entrepreneurial Assessment Suite</t>
  </si>
  <si>
    <t>Welcome to the Entrepreneurial Assessment Suite</t>
  </si>
  <si>
    <t>This workbook contains three comprehensive assessments to help you evaluate your readinessfor entrepreneurship and identify areas for development:</t>
  </si>
  <si>
    <t>1. ENTREPRENEURIAL READINESS ASSESSMENT</t>
  </si>
  <si>
    <t xml:space="preserve">   • 20 questions across 4 key areas</t>
  </si>
  <si>
    <t xml:space="preserve">   • Rate each statement from 1 (strongly disagree) to 5 (strongly agree)</t>
  </si>
  <si>
    <t xml:space="preserve">   • Automatic scoring and interpretation</t>
  </si>
  <si>
    <t>2. MINDSET ASSESSMENT</t>
  </si>
  <si>
    <t xml:space="preserve">   • 5 multiple-choice questions</t>
  </si>
  <si>
    <t xml:space="preserve">   • Evaluates your entrepreneurial thinking patterns</t>
  </si>
  <si>
    <t xml:space="preserve">   • Identifies growth vs. fixed mindset tendencies</t>
  </si>
  <si>
    <t>3. VALUES &amp; PURPOSE ASSESSMENT</t>
  </si>
  <si>
    <t xml:space="preserve">   • Rank 10 core values by importance</t>
  </si>
  <si>
    <t xml:space="preserve">   • Reflection questions for self-discovery</t>
  </si>
  <si>
    <t xml:space="preserve">   • Purpose statement development</t>
  </si>
  <si>
    <t>INSTRUCTIONS:</t>
  </si>
  <si>
    <t>• Navigate between sheets using the tabs at the bottom</t>
  </si>
  <si>
    <t>• Complete each assessment honestly and thoughtfully</t>
  </si>
  <si>
    <t>• Review your results in the Summary sheet</t>
  </si>
  <si>
    <t>• Use insights for your entrepreneurial journey planning</t>
  </si>
  <si>
    <t>Click on the sheet tabs below to begin your assessment journey!</t>
  </si>
  <si>
    <t>Entrepreneurial Readiness Assessment</t>
  </si>
  <si>
    <t>Instructions: Rate each statement from 1 (strongly disagree) to 5 (strongly agree)</t>
  </si>
  <si>
    <t>Rating Scale:</t>
  </si>
  <si>
    <t>1 = Strongly Disagree</t>
  </si>
  <si>
    <t>2 = Disagree</t>
  </si>
  <si>
    <t>3 = Neutral</t>
  </si>
  <si>
    <t>4 = Agree</t>
  </si>
  <si>
    <t>5 = Strongly Agree</t>
  </si>
  <si>
    <t>Risk Tolerance</t>
  </si>
  <si>
    <t>1. I am comfortable making decisions with incomplete information</t>
  </si>
  <si>
    <t>2. I can handle financial uncertainty for extended periods</t>
  </si>
  <si>
    <t>3. I am willing to invest my own money in business opportunities</t>
  </si>
  <si>
    <t>4. I can manage stress effectively during challenging periods</t>
  </si>
  <si>
    <t>5. I view failure as a learning opportunity rather than a disaster</t>
  </si>
  <si>
    <t>Self-Discipline and Motivation</t>
  </si>
  <si>
    <t>6. I can maintain productivity without external supervision</t>
  </si>
  <si>
    <t>7. I set and achieve personal goals consistently</t>
  </si>
  <si>
    <t>8. I can focus on long-term objectives despite short-term distractions</t>
  </si>
  <si>
    <t>9. I take initiative rather than waiting for direction from others</t>
  </si>
  <si>
    <t>10. I persist through obstacles and setbacks</t>
  </si>
  <si>
    <t>Business Acumen</t>
  </si>
  <si>
    <t>11. I understand basic business and financial principles</t>
  </si>
  <si>
    <t>12. I can identify market opportunities and customer needs</t>
  </si>
  <si>
    <t>13. I have experience with sales, marketing, or customer service</t>
  </si>
  <si>
    <t>14. I understand the importance of cash flow and profitability</t>
  </si>
  <si>
    <t>15. I can communicate value propositions clearly to others</t>
  </si>
  <si>
    <t>Leadership and Interpersonal Skills</t>
  </si>
  <si>
    <t>16. I can influence and persuade others effectively</t>
  </si>
  <si>
    <t>17. I work well with diverse groups of people</t>
  </si>
  <si>
    <t>18. I can delegate responsibilities and manage others</t>
  </si>
  <si>
    <t>19. I build strong professional relationships</t>
  </si>
  <si>
    <t>20. I communicate clearly and professionally</t>
  </si>
  <si>
    <t>SCORING SUMMARY</t>
  </si>
  <si>
    <t>Risk Tolerance:</t>
  </si>
  <si>
    <t>Score:</t>
  </si>
  <si>
    <t>Self-Discipline &amp; Motivation:</t>
  </si>
  <si>
    <t>Business Acumen:</t>
  </si>
  <si>
    <t>Leadership &amp; Interpersonal:</t>
  </si>
  <si>
    <t>TOTAL SCORE:</t>
  </si>
  <si>
    <t>Your Result:</t>
  </si>
  <si>
    <t>80-100: High entrepreneurial readiness</t>
  </si>
  <si>
    <t>60-79: Moderate readiness with some development needed</t>
  </si>
  <si>
    <t>40-59: Significant development required before transition</t>
  </si>
  <si>
    <t>Below 40: Consider building foundational skills before pursuing entrepreneurship</t>
  </si>
  <si>
    <t>Mindset Assessment Quiz</t>
  </si>
  <si>
    <t>Instructions: Choose the response that best reflects your typical thinking pattern</t>
  </si>
  <si>
    <t>1. When facing a significant challenge, I typically:</t>
  </si>
  <si>
    <t>a) Look for ways to avoid or minimize the challenge</t>
  </si>
  <si>
    <t>b) Seek help from others to handle the challenge</t>
  </si>
  <si>
    <t>c) View it as an opportunity to learn and grow</t>
  </si>
  <si>
    <t>Your Answer:</t>
  </si>
  <si>
    <t>d) Feel overwhelmed and uncertain about proceeding</t>
  </si>
  <si>
    <t>2. When I make a mistake, I usually:</t>
  </si>
  <si>
    <t>a) Try to hide it or blame external factors</t>
  </si>
  <si>
    <t>b) Feel embarrassed and avoid similar situations</t>
  </si>
  <si>
    <t>c) Analyze what went wrong and how to improve</t>
  </si>
  <si>
    <t>d) Worry about what others will think</t>
  </si>
  <si>
    <t>3. My approach to learning new skills is:</t>
  </si>
  <si>
    <t>a) I prefer to stick with skills I already have</t>
  </si>
  <si>
    <t>b) I learn new skills only when required</t>
  </si>
  <si>
    <t>c) I actively seek opportunities to develop new capabilities</t>
  </si>
  <si>
    <t>d) I worry that I'm too old or set in my ways to learn</t>
  </si>
  <si>
    <t>4. When considering a risky opportunity, I:</t>
  </si>
  <si>
    <t>a) Usually avoid it to maintain security</t>
  </si>
  <si>
    <t>b) Seek extensive analysis before deciding</t>
  </si>
  <si>
    <t>c) Evaluate the potential benefits against the risks</t>
  </si>
  <si>
    <t>d) Feel paralyzed by the uncertainty</t>
  </si>
  <si>
    <t>5. My relationship with failure is:</t>
  </si>
  <si>
    <t>a) I do everything possible to avoid failure</t>
  </si>
  <si>
    <t>b) Failure makes me question my abilities</t>
  </si>
  <si>
    <t>c) Failure provides valuable learning experiences</t>
  </si>
  <si>
    <t>d) I fear failure more than I desire success</t>
  </si>
  <si>
    <t>SCORING INTERPRETATION</t>
  </si>
  <si>
    <t>Mostly C's: Growth mindset with entrepreneurial thinking</t>
  </si>
  <si>
    <t>Mix of B's and C's: Developing entrepreneurial mindset</t>
  </si>
  <si>
    <t>Mostly B's: Traditional employee mindset</t>
  </si>
  <si>
    <t>Mostly A's or D's: Fixed mindset requiring significant development</t>
  </si>
  <si>
    <t>Scoring Summary:</t>
  </si>
  <si>
    <t>Growth Mindset Responses (c answers):</t>
  </si>
  <si>
    <t>Interpretation:</t>
  </si>
  <si>
    <t>Values and Purpose Assessment</t>
  </si>
  <si>
    <t>Instructions: Rank the following values from 1 (most important) to 10 (least important)</t>
  </si>
  <si>
    <t>VALUE</t>
  </si>
  <si>
    <t>RANK (1-10)</t>
  </si>
  <si>
    <t>Financial security and stability</t>
  </si>
  <si>
    <t>Creative expression and innovation</t>
  </si>
  <si>
    <t>Helping others and making a positive impact</t>
  </si>
  <si>
    <t>Independence and autonomy</t>
  </si>
  <si>
    <t>Recognition and achievement</t>
  </si>
  <si>
    <t>Work-life balance and family time</t>
  </si>
  <si>
    <t>Intellectual challenge and growth</t>
  </si>
  <si>
    <t>Leadership and influence</t>
  </si>
  <si>
    <t>Adventure and variety</t>
  </si>
  <si>
    <t>Stability and predictability</t>
  </si>
  <si>
    <t>REFLECTION QUESTIONS</t>
  </si>
  <si>
    <t>1. How do your top three values align with entrepreneurship?</t>
  </si>
  <si>
    <t>2. What problems in the world do you feel most passionate about solving?</t>
  </si>
  <si>
    <t>3. What legacy do you want to leave through your work?</t>
  </si>
  <si>
    <t>4. What activities make you feel most energized and fulfilled?</t>
  </si>
  <si>
    <t>5. How do you want to be remembered professionally?</t>
  </si>
  <si>
    <t>PURPOSE STATEMENT</t>
  </si>
  <si>
    <t>Based on your values and reflections, write your entrepreneurial purpose statement:</t>
  </si>
  <si>
    <t>Your Top 3 Values Summary:</t>
  </si>
  <si>
    <t>1st Priority:</t>
  </si>
  <si>
    <t>2nd Priority:</t>
  </si>
  <si>
    <t>3rd Priority:</t>
  </si>
  <si>
    <t>Assessment Results Summary</t>
  </si>
  <si>
    <t>ENTREPRENEURIAL READINESS SCORE</t>
  </si>
  <si>
    <t>Total Score:</t>
  </si>
  <si>
    <t>MINDSET ASSESSMENT RESULT</t>
  </si>
  <si>
    <t>Dominant Pattern:</t>
  </si>
  <si>
    <t>TOP 3 VALUES</t>
  </si>
  <si>
    <t>1.</t>
  </si>
  <si>
    <t>2.</t>
  </si>
  <si>
    <t>3.</t>
  </si>
  <si>
    <t>OVERALL RECOMMENDATIONS</t>
  </si>
  <si>
    <t>Based on your assessment results, consider the following recommendations:</t>
  </si>
  <si>
    <t>• Review areas with lower scores for targeted development</t>
  </si>
  <si>
    <t>• Align your entrepreneurial goals with your core values</t>
  </si>
  <si>
    <t>• Develop a growth mindset if needed</t>
  </si>
  <si>
    <t>• Seek mentorship or training in weak areas</t>
  </si>
  <si>
    <t>• Create an action plan for skill development</t>
  </si>
  <si>
    <t>• Consider starting with a side business to test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</si>
</sst>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2F5597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i/>
      <sz val="10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  <fill>
      <patternFill patternType="solid">
        <fgColor theme="3"/>
        <bgColor rgb="FFD9E2F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0" xfId="0" applyFont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9" fillId="4" borderId="0" xfId="0" applyFont="1" applyFill="1"/>
    <xf numFmtId="0" fontId="1" fillId="0" borderId="0" xfId="0" applyFont="1" applyAlignment="1">
      <alignment horizontal="left" vertical="center"/>
    </xf>
    <xf numFmtId="0" fontId="0" fillId="0" borderId="0" xfId="0"/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8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 vertical="top" wrapText="1"/>
    </xf>
    <xf numFmtId="0" fontId="0" fillId="0" borderId="3" xfId="0" applyBorder="1"/>
    <xf numFmtId="0" fontId="0" fillId="0" borderId="5" xfId="0" applyBorder="1"/>
    <xf numFmtId="0" fontId="5" fillId="3" borderId="0" xfId="0" applyFont="1" applyFill="1"/>
    <xf numFmtId="0" fontId="0" fillId="0" borderId="9" xfId="0" applyBorder="1"/>
    <xf numFmtId="0" fontId="0" fillId="0" borderId="10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workbookViewId="0">
      <selection activeCell="A15" sqref="A15"/>
    </sheetView>
  </sheetViews>
  <sheetFormatPr defaultRowHeight="15" x14ac:dyDescent="0.25"/>
  <cols>
    <col min="1" max="1" width="135.5703125" customWidth="1"/>
  </cols>
  <sheetData>
    <row r="1" spans="1:6" ht="23.25" customHeight="1" x14ac:dyDescent="0.25">
      <c r="A1" s="14" t="s">
        <v>0</v>
      </c>
      <c r="B1" s="15"/>
      <c r="C1" s="15"/>
      <c r="D1" s="15"/>
      <c r="E1" s="15"/>
      <c r="F1" s="15"/>
    </row>
    <row r="3" spans="1:6" x14ac:dyDescent="0.25">
      <c r="A3" s="1"/>
    </row>
    <row r="4" spans="1:6" x14ac:dyDescent="0.25">
      <c r="A4" s="1" t="s">
        <v>1</v>
      </c>
    </row>
    <row r="5" spans="1:6" x14ac:dyDescent="0.25">
      <c r="A5" s="1"/>
    </row>
    <row r="6" spans="1:6" ht="25.5" customHeight="1" x14ac:dyDescent="0.25">
      <c r="A6" s="1" t="s">
        <v>2</v>
      </c>
    </row>
    <row r="7" spans="1:6" x14ac:dyDescent="0.25">
      <c r="A7" s="1"/>
    </row>
    <row r="8" spans="1:6" x14ac:dyDescent="0.25">
      <c r="A8" s="12" t="s">
        <v>3</v>
      </c>
    </row>
    <row r="9" spans="1:6" x14ac:dyDescent="0.25">
      <c r="A9" s="1" t="s">
        <v>4</v>
      </c>
    </row>
    <row r="10" spans="1:6" x14ac:dyDescent="0.25">
      <c r="A10" s="1" t="s">
        <v>5</v>
      </c>
    </row>
    <row r="11" spans="1:6" x14ac:dyDescent="0.25">
      <c r="A11" s="1" t="s">
        <v>6</v>
      </c>
    </row>
    <row r="12" spans="1:6" x14ac:dyDescent="0.25">
      <c r="A12" s="1"/>
    </row>
    <row r="13" spans="1:6" x14ac:dyDescent="0.25">
      <c r="A13" s="12" t="s">
        <v>7</v>
      </c>
    </row>
    <row r="14" spans="1:6" x14ac:dyDescent="0.25">
      <c r="A14" s="1" t="s">
        <v>8</v>
      </c>
    </row>
    <row r="15" spans="1:6" x14ac:dyDescent="0.25">
      <c r="A15" s="1" t="s">
        <v>9</v>
      </c>
    </row>
    <row r="16" spans="1:6" x14ac:dyDescent="0.25">
      <c r="A16" s="1" t="s">
        <v>10</v>
      </c>
    </row>
    <row r="17" spans="1:1" x14ac:dyDescent="0.25">
      <c r="A17" s="1"/>
    </row>
    <row r="18" spans="1:1" x14ac:dyDescent="0.25">
      <c r="A18" s="12" t="s">
        <v>11</v>
      </c>
    </row>
    <row r="19" spans="1:1" x14ac:dyDescent="0.25">
      <c r="A19" s="1" t="s">
        <v>12</v>
      </c>
    </row>
    <row r="20" spans="1:1" x14ac:dyDescent="0.25">
      <c r="A20" s="1" t="s">
        <v>13</v>
      </c>
    </row>
    <row r="21" spans="1:1" x14ac:dyDescent="0.25">
      <c r="A21" s="1" t="s">
        <v>14</v>
      </c>
    </row>
    <row r="22" spans="1:1" x14ac:dyDescent="0.25">
      <c r="A22" s="1"/>
    </row>
    <row r="23" spans="1:1" x14ac:dyDescent="0.25">
      <c r="A23" s="12" t="s">
        <v>15</v>
      </c>
    </row>
    <row r="24" spans="1:1" x14ac:dyDescent="0.25">
      <c r="A24" s="1" t="s">
        <v>16</v>
      </c>
    </row>
    <row r="25" spans="1:1" x14ac:dyDescent="0.25">
      <c r="A25" s="1" t="s">
        <v>17</v>
      </c>
    </row>
    <row r="26" spans="1:1" x14ac:dyDescent="0.25">
      <c r="A26" s="1" t="s">
        <v>18</v>
      </c>
    </row>
    <row r="27" spans="1:1" x14ac:dyDescent="0.25">
      <c r="A27" s="1" t="s">
        <v>19</v>
      </c>
    </row>
    <row r="28" spans="1:1" x14ac:dyDescent="0.25">
      <c r="A28" s="1"/>
    </row>
    <row r="29" spans="1:1" x14ac:dyDescent="0.25">
      <c r="A29" s="1" t="s">
        <v>20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topLeftCell="A22" workbookViewId="0">
      <selection activeCell="A28" sqref="A28:F28"/>
    </sheetView>
  </sheetViews>
  <sheetFormatPr defaultRowHeight="15" x14ac:dyDescent="0.25"/>
  <cols>
    <col min="1" max="1" width="60" customWidth="1"/>
    <col min="2" max="2" width="21" customWidth="1"/>
    <col min="3" max="3" width="19.28515625" customWidth="1"/>
    <col min="4" max="4" width="15.28515625" customWidth="1"/>
    <col min="5" max="5" width="14.7109375" customWidth="1"/>
    <col min="6" max="6" width="17.5703125" customWidth="1"/>
  </cols>
  <sheetData>
    <row r="1" spans="1:6" ht="18" customHeight="1" x14ac:dyDescent="0.25">
      <c r="A1" s="17" t="s">
        <v>21</v>
      </c>
      <c r="B1" s="15"/>
      <c r="C1" s="15"/>
      <c r="D1" s="15"/>
      <c r="E1" s="15"/>
      <c r="F1" s="15"/>
    </row>
    <row r="3" spans="1:6" x14ac:dyDescent="0.25">
      <c r="A3" s="18" t="s">
        <v>22</v>
      </c>
      <c r="B3" s="15"/>
      <c r="C3" s="15"/>
      <c r="D3" s="15"/>
      <c r="E3" s="15"/>
      <c r="F3" s="15"/>
    </row>
    <row r="5" spans="1:6" ht="15.75" customHeight="1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</row>
    <row r="7" spans="1:6" ht="15.75" customHeight="1" x14ac:dyDescent="0.25">
      <c r="A7" s="16" t="s">
        <v>29</v>
      </c>
      <c r="B7" s="15"/>
      <c r="C7" s="15"/>
      <c r="D7" s="15"/>
      <c r="E7" s="15"/>
      <c r="F7" s="15"/>
    </row>
    <row r="8" spans="1:6" x14ac:dyDescent="0.25">
      <c r="A8" s="11" t="s">
        <v>30</v>
      </c>
      <c r="B8" s="9"/>
      <c r="C8" s="9"/>
      <c r="D8" s="9"/>
      <c r="E8" s="9"/>
      <c r="F8" s="4"/>
    </row>
    <row r="9" spans="1:6" x14ac:dyDescent="0.25">
      <c r="A9" s="11" t="s">
        <v>31</v>
      </c>
      <c r="B9" s="9"/>
      <c r="C9" s="9"/>
      <c r="D9" s="9"/>
      <c r="E9" s="9"/>
      <c r="F9" s="4"/>
    </row>
    <row r="10" spans="1:6" x14ac:dyDescent="0.25">
      <c r="A10" s="11" t="s">
        <v>32</v>
      </c>
      <c r="B10" s="9"/>
      <c r="C10" s="9"/>
      <c r="D10" s="9"/>
      <c r="E10" s="9"/>
      <c r="F10" s="4"/>
    </row>
    <row r="11" spans="1:6" x14ac:dyDescent="0.25">
      <c r="A11" s="11" t="s">
        <v>33</v>
      </c>
      <c r="B11" s="9"/>
      <c r="C11" s="9"/>
      <c r="D11" s="9"/>
      <c r="E11" s="9"/>
      <c r="F11" s="4"/>
    </row>
    <row r="12" spans="1:6" x14ac:dyDescent="0.25">
      <c r="A12" s="11" t="s">
        <v>34</v>
      </c>
      <c r="B12" s="9"/>
      <c r="C12" s="9"/>
      <c r="D12" s="9"/>
      <c r="E12" s="9"/>
      <c r="F12" s="4"/>
    </row>
    <row r="14" spans="1:6" ht="15.75" customHeight="1" x14ac:dyDescent="0.25">
      <c r="A14" s="16" t="s">
        <v>35</v>
      </c>
      <c r="B14" s="15"/>
      <c r="C14" s="15"/>
      <c r="D14" s="15"/>
      <c r="E14" s="15"/>
      <c r="F14" s="15"/>
    </row>
    <row r="15" spans="1:6" x14ac:dyDescent="0.25">
      <c r="A15" s="11" t="s">
        <v>36</v>
      </c>
      <c r="B15" s="9"/>
      <c r="C15" s="9"/>
      <c r="D15" s="9"/>
      <c r="E15" s="9"/>
      <c r="F15" s="4"/>
    </row>
    <row r="16" spans="1:6" x14ac:dyDescent="0.25">
      <c r="A16" s="11" t="s">
        <v>37</v>
      </c>
      <c r="B16" s="9"/>
      <c r="C16" s="9"/>
      <c r="D16" s="9"/>
      <c r="E16" s="9"/>
      <c r="F16" s="4"/>
    </row>
    <row r="17" spans="1:6" x14ac:dyDescent="0.25">
      <c r="A17" s="11" t="s">
        <v>38</v>
      </c>
      <c r="B17" s="9"/>
      <c r="C17" s="9"/>
      <c r="D17" s="9"/>
      <c r="E17" s="9"/>
      <c r="F17" s="4"/>
    </row>
    <row r="18" spans="1:6" x14ac:dyDescent="0.25">
      <c r="A18" s="11" t="s">
        <v>39</v>
      </c>
      <c r="B18" s="9"/>
      <c r="C18" s="9"/>
      <c r="D18" s="9"/>
      <c r="E18" s="9"/>
      <c r="F18" s="4"/>
    </row>
    <row r="19" spans="1:6" x14ac:dyDescent="0.25">
      <c r="A19" s="11" t="s">
        <v>40</v>
      </c>
      <c r="B19" s="9"/>
      <c r="C19" s="9"/>
      <c r="D19" s="9"/>
      <c r="E19" s="9"/>
      <c r="F19" s="4"/>
    </row>
    <row r="21" spans="1:6" ht="15.75" customHeight="1" x14ac:dyDescent="0.25">
      <c r="A21" s="16" t="s">
        <v>41</v>
      </c>
      <c r="B21" s="15"/>
      <c r="C21" s="15"/>
      <c r="D21" s="15"/>
      <c r="E21" s="15"/>
      <c r="F21" s="15"/>
    </row>
    <row r="22" spans="1:6" x14ac:dyDescent="0.25">
      <c r="A22" s="11" t="s">
        <v>42</v>
      </c>
      <c r="B22" s="9"/>
      <c r="C22" s="9"/>
      <c r="D22" s="9"/>
      <c r="E22" s="9"/>
      <c r="F22" s="4"/>
    </row>
    <row r="23" spans="1:6" x14ac:dyDescent="0.25">
      <c r="A23" s="11" t="s">
        <v>43</v>
      </c>
      <c r="B23" s="9"/>
      <c r="C23" s="9"/>
      <c r="D23" s="9"/>
      <c r="E23" s="9"/>
      <c r="F23" s="4"/>
    </row>
    <row r="24" spans="1:6" x14ac:dyDescent="0.25">
      <c r="A24" s="11" t="s">
        <v>44</v>
      </c>
      <c r="B24" s="9"/>
      <c r="C24" s="9"/>
      <c r="D24" s="9"/>
      <c r="E24" s="9"/>
      <c r="F24" s="4"/>
    </row>
    <row r="25" spans="1:6" x14ac:dyDescent="0.25">
      <c r="A25" s="11" t="s">
        <v>45</v>
      </c>
      <c r="B25" s="9"/>
      <c r="C25" s="9"/>
      <c r="D25" s="9"/>
      <c r="E25" s="9"/>
      <c r="F25" s="4"/>
    </row>
    <row r="26" spans="1:6" x14ac:dyDescent="0.25">
      <c r="A26" s="11" t="s">
        <v>46</v>
      </c>
      <c r="B26" s="9"/>
      <c r="C26" s="9"/>
      <c r="D26" s="9"/>
      <c r="E26" s="9"/>
      <c r="F26" s="4"/>
    </row>
    <row r="28" spans="1:6" ht="15.75" customHeight="1" x14ac:dyDescent="0.25">
      <c r="A28" s="16" t="s">
        <v>47</v>
      </c>
      <c r="B28" s="15"/>
      <c r="C28" s="15"/>
      <c r="D28" s="15"/>
      <c r="E28" s="15"/>
      <c r="F28" s="15"/>
    </row>
    <row r="29" spans="1:6" x14ac:dyDescent="0.25">
      <c r="A29" s="11" t="s">
        <v>48</v>
      </c>
      <c r="B29" s="9"/>
      <c r="C29" s="9"/>
      <c r="D29" s="9"/>
      <c r="E29" s="9"/>
      <c r="F29" s="4"/>
    </row>
    <row r="30" spans="1:6" x14ac:dyDescent="0.25">
      <c r="A30" s="11" t="s">
        <v>49</v>
      </c>
      <c r="B30" s="9"/>
      <c r="C30" s="9"/>
      <c r="D30" s="9"/>
      <c r="E30" s="9"/>
      <c r="F30" s="4"/>
    </row>
    <row r="31" spans="1:6" x14ac:dyDescent="0.25">
      <c r="A31" s="11" t="s">
        <v>50</v>
      </c>
      <c r="B31" s="9"/>
      <c r="C31" s="9"/>
      <c r="D31" s="9"/>
      <c r="E31" s="9"/>
      <c r="F31" s="4"/>
    </row>
    <row r="32" spans="1:6" x14ac:dyDescent="0.25">
      <c r="A32" s="11" t="s">
        <v>51</v>
      </c>
      <c r="B32" s="9"/>
      <c r="C32" s="9"/>
      <c r="D32" s="9"/>
      <c r="E32" s="9"/>
      <c r="F32" s="4"/>
    </row>
    <row r="33" spans="1:6" x14ac:dyDescent="0.25">
      <c r="A33" s="11" t="s">
        <v>52</v>
      </c>
      <c r="B33" s="9"/>
      <c r="C33" s="9"/>
      <c r="D33" s="9"/>
      <c r="E33" s="9"/>
      <c r="F33" s="4"/>
    </row>
    <row r="36" spans="1:6" ht="15.75" customHeight="1" x14ac:dyDescent="0.25">
      <c r="A36" s="16" t="s">
        <v>53</v>
      </c>
      <c r="B36" s="15"/>
      <c r="C36" s="15"/>
      <c r="D36" s="15"/>
      <c r="E36" s="15"/>
      <c r="F36" s="15"/>
    </row>
    <row r="37" spans="1:6" x14ac:dyDescent="0.25">
      <c r="A37" s="9"/>
      <c r="B37" s="9"/>
      <c r="C37" s="9"/>
      <c r="D37" s="9"/>
      <c r="E37" s="9"/>
      <c r="F37" s="9"/>
    </row>
    <row r="38" spans="1:6" x14ac:dyDescent="0.25">
      <c r="A38" s="10" t="s">
        <v>54</v>
      </c>
      <c r="B38" s="9" t="s">
        <v>55</v>
      </c>
      <c r="C38" s="6">
        <f>SUM(F8:F12)</f>
        <v>0</v>
      </c>
      <c r="D38" s="9"/>
      <c r="E38" s="9"/>
      <c r="F38" s="9"/>
    </row>
    <row r="39" spans="1:6" x14ac:dyDescent="0.25">
      <c r="A39" s="10" t="s">
        <v>56</v>
      </c>
      <c r="B39" s="9" t="s">
        <v>55</v>
      </c>
      <c r="C39" s="6">
        <f>SUM(F14:F18)</f>
        <v>0</v>
      </c>
      <c r="D39" s="9"/>
      <c r="E39" s="9"/>
      <c r="F39" s="9"/>
    </row>
    <row r="40" spans="1:6" x14ac:dyDescent="0.25">
      <c r="A40" s="10" t="s">
        <v>57</v>
      </c>
      <c r="B40" s="9" t="s">
        <v>55</v>
      </c>
      <c r="C40" s="6">
        <f>SUM(F20:F24)</f>
        <v>0</v>
      </c>
      <c r="D40" s="9"/>
      <c r="E40" s="9"/>
      <c r="F40" s="9"/>
    </row>
    <row r="41" spans="1:6" x14ac:dyDescent="0.25">
      <c r="A41" s="10" t="s">
        <v>58</v>
      </c>
      <c r="B41" s="9" t="s">
        <v>55</v>
      </c>
      <c r="C41" s="6">
        <f>SUM(F26:F30)</f>
        <v>0</v>
      </c>
      <c r="D41" s="9"/>
      <c r="E41" s="9"/>
      <c r="F41" s="9"/>
    </row>
    <row r="42" spans="1:6" x14ac:dyDescent="0.25">
      <c r="A42" s="9"/>
      <c r="B42" s="9"/>
      <c r="C42" s="9"/>
      <c r="D42" s="9"/>
      <c r="E42" s="9"/>
      <c r="F42" s="9"/>
    </row>
    <row r="43" spans="1:6" ht="15.75" customHeight="1" x14ac:dyDescent="0.25">
      <c r="A43" s="7" t="s">
        <v>59</v>
      </c>
      <c r="B43" s="9" t="s">
        <v>59</v>
      </c>
      <c r="C43" s="7">
        <f>SUM(C38:C41)</f>
        <v>0</v>
      </c>
      <c r="D43" s="9"/>
      <c r="E43" s="9"/>
      <c r="F43" s="9"/>
    </row>
    <row r="45" spans="1:6" ht="15.75" customHeight="1" x14ac:dyDescent="0.25">
      <c r="A45" s="16" t="s">
        <v>60</v>
      </c>
      <c r="B45" s="15"/>
      <c r="C45" s="15"/>
      <c r="D45" s="15"/>
      <c r="E45" s="15"/>
      <c r="F45" s="15"/>
    </row>
    <row r="47" spans="1:6" x14ac:dyDescent="0.25">
      <c r="A47" s="5" t="s">
        <v>61</v>
      </c>
    </row>
    <row r="48" spans="1:6" x14ac:dyDescent="0.25">
      <c r="A48" s="5" t="s">
        <v>62</v>
      </c>
    </row>
    <row r="49" spans="1:1" x14ac:dyDescent="0.25">
      <c r="A49" s="5" t="s">
        <v>63</v>
      </c>
    </row>
    <row r="50" spans="1:1" x14ac:dyDescent="0.25">
      <c r="A50" s="5" t="s">
        <v>64</v>
      </c>
    </row>
  </sheetData>
  <mergeCells count="8">
    <mergeCell ref="A28:F28"/>
    <mergeCell ref="A36:F36"/>
    <mergeCell ref="A14:F14"/>
    <mergeCell ref="A1:F1"/>
    <mergeCell ref="A45:F45"/>
    <mergeCell ref="A3:F3"/>
    <mergeCell ref="A21:F2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abSelected="1" topLeftCell="A24" workbookViewId="0">
      <selection activeCell="H35" sqref="H35"/>
    </sheetView>
  </sheetViews>
  <sheetFormatPr defaultRowHeight="15" x14ac:dyDescent="0.25"/>
  <cols>
    <col min="1" max="1" width="50.140625" customWidth="1"/>
    <col min="2" max="2" width="50" customWidth="1"/>
    <col min="6" max="6" width="15" customWidth="1"/>
  </cols>
  <sheetData>
    <row r="1" spans="1:6" ht="18" customHeight="1" x14ac:dyDescent="0.25">
      <c r="A1" s="17" t="s">
        <v>65</v>
      </c>
      <c r="B1" s="15"/>
      <c r="C1" s="15"/>
      <c r="D1" s="15"/>
      <c r="E1" s="15"/>
      <c r="F1" s="15"/>
    </row>
    <row r="3" spans="1:6" x14ac:dyDescent="0.25">
      <c r="A3" s="20" t="s">
        <v>66</v>
      </c>
      <c r="B3" s="15"/>
      <c r="C3" s="15"/>
      <c r="D3" s="15"/>
      <c r="E3" s="15"/>
      <c r="F3" s="15"/>
    </row>
    <row r="5" spans="1:6" ht="15.75" customHeight="1" x14ac:dyDescent="0.25">
      <c r="A5" s="19" t="s">
        <v>67</v>
      </c>
      <c r="B5" s="15"/>
      <c r="C5" s="15"/>
      <c r="D5" s="15"/>
      <c r="E5" s="15"/>
    </row>
    <row r="6" spans="1:6" x14ac:dyDescent="0.25">
      <c r="B6" s="1" t="s">
        <v>68</v>
      </c>
    </row>
    <row r="7" spans="1:6" x14ac:dyDescent="0.25">
      <c r="B7" s="1" t="s">
        <v>69</v>
      </c>
    </row>
    <row r="8" spans="1:6" x14ac:dyDescent="0.25">
      <c r="B8" s="1" t="s">
        <v>70</v>
      </c>
      <c r="F8" s="5" t="s">
        <v>71</v>
      </c>
    </row>
    <row r="9" spans="1:6" x14ac:dyDescent="0.25">
      <c r="B9" s="1" t="s">
        <v>72</v>
      </c>
      <c r="F9" s="4"/>
    </row>
    <row r="11" spans="1:6" ht="15.75" customHeight="1" x14ac:dyDescent="0.25">
      <c r="A11" s="19" t="s">
        <v>73</v>
      </c>
      <c r="B11" s="15"/>
      <c r="C11" s="15"/>
      <c r="D11" s="15"/>
      <c r="E11" s="15"/>
    </row>
    <row r="12" spans="1:6" x14ac:dyDescent="0.25">
      <c r="B12" s="1" t="s">
        <v>74</v>
      </c>
    </row>
    <row r="13" spans="1:6" x14ac:dyDescent="0.25">
      <c r="B13" s="1" t="s">
        <v>75</v>
      </c>
    </row>
    <row r="14" spans="1:6" x14ac:dyDescent="0.25">
      <c r="B14" s="1" t="s">
        <v>76</v>
      </c>
      <c r="F14" s="5" t="s">
        <v>71</v>
      </c>
    </row>
    <row r="15" spans="1:6" x14ac:dyDescent="0.25">
      <c r="B15" s="1" t="s">
        <v>77</v>
      </c>
      <c r="F15" s="4"/>
    </row>
    <row r="17" spans="1:6" ht="15.75" customHeight="1" x14ac:dyDescent="0.25">
      <c r="A17" s="19" t="s">
        <v>78</v>
      </c>
      <c r="B17" s="15"/>
      <c r="C17" s="15"/>
      <c r="D17" s="15"/>
      <c r="E17" s="15"/>
    </row>
    <row r="18" spans="1:6" x14ac:dyDescent="0.25">
      <c r="B18" s="1" t="s">
        <v>79</v>
      </c>
    </row>
    <row r="19" spans="1:6" x14ac:dyDescent="0.25">
      <c r="B19" s="1" t="s">
        <v>80</v>
      </c>
    </row>
    <row r="20" spans="1:6" x14ac:dyDescent="0.25">
      <c r="B20" s="1" t="s">
        <v>81</v>
      </c>
      <c r="F20" s="5" t="s">
        <v>71</v>
      </c>
    </row>
    <row r="21" spans="1:6" x14ac:dyDescent="0.25">
      <c r="B21" s="1" t="s">
        <v>82</v>
      </c>
      <c r="F21" s="4"/>
    </row>
    <row r="23" spans="1:6" ht="15.75" customHeight="1" x14ac:dyDescent="0.25">
      <c r="A23" s="19" t="s">
        <v>83</v>
      </c>
      <c r="B23" s="15"/>
      <c r="C23" s="15"/>
      <c r="D23" s="15"/>
      <c r="E23" s="15"/>
    </row>
    <row r="24" spans="1:6" x14ac:dyDescent="0.25">
      <c r="B24" s="1" t="s">
        <v>84</v>
      </c>
    </row>
    <row r="25" spans="1:6" x14ac:dyDescent="0.25">
      <c r="B25" s="1" t="s">
        <v>85</v>
      </c>
    </row>
    <row r="26" spans="1:6" x14ac:dyDescent="0.25">
      <c r="B26" s="1" t="s">
        <v>86</v>
      </c>
      <c r="F26" s="5" t="s">
        <v>71</v>
      </c>
    </row>
    <row r="27" spans="1:6" x14ac:dyDescent="0.25">
      <c r="B27" s="1" t="s">
        <v>87</v>
      </c>
      <c r="F27" s="4"/>
    </row>
    <row r="29" spans="1:6" ht="15.75" customHeight="1" x14ac:dyDescent="0.25">
      <c r="A29" s="19" t="s">
        <v>88</v>
      </c>
      <c r="B29" s="15"/>
      <c r="C29" s="15"/>
      <c r="D29" s="15"/>
      <c r="E29" s="15"/>
    </row>
    <row r="30" spans="1:6" x14ac:dyDescent="0.25">
      <c r="B30" s="1" t="s">
        <v>89</v>
      </c>
    </row>
    <row r="31" spans="1:6" x14ac:dyDescent="0.25">
      <c r="B31" s="1" t="s">
        <v>90</v>
      </c>
    </row>
    <row r="32" spans="1:6" x14ac:dyDescent="0.25">
      <c r="B32" s="1" t="s">
        <v>91</v>
      </c>
      <c r="F32" s="5" t="s">
        <v>71</v>
      </c>
    </row>
    <row r="33" spans="1:6" x14ac:dyDescent="0.25">
      <c r="B33" s="1" t="s">
        <v>92</v>
      </c>
      <c r="F33" s="4"/>
    </row>
    <row r="36" spans="1:6" ht="15.75" customHeight="1" x14ac:dyDescent="0.25">
      <c r="A36" s="16" t="s">
        <v>93</v>
      </c>
      <c r="B36" s="15"/>
      <c r="C36" s="15"/>
      <c r="D36" s="15"/>
      <c r="E36" s="15"/>
      <c r="F36" s="15"/>
    </row>
    <row r="38" spans="1:6" x14ac:dyDescent="0.25">
      <c r="A38" s="5" t="s">
        <v>94</v>
      </c>
    </row>
    <row r="39" spans="1:6" x14ac:dyDescent="0.25">
      <c r="A39" s="5" t="s">
        <v>95</v>
      </c>
    </row>
    <row r="40" spans="1:6" x14ac:dyDescent="0.25">
      <c r="A40" s="5" t="s">
        <v>96</v>
      </c>
    </row>
    <row r="41" spans="1:6" x14ac:dyDescent="0.25">
      <c r="A41" s="5" t="s">
        <v>97</v>
      </c>
    </row>
    <row r="43" spans="1:6" ht="15.75" customHeight="1" x14ac:dyDescent="0.25">
      <c r="A43" s="16" t="s">
        <v>98</v>
      </c>
      <c r="B43" s="15"/>
      <c r="C43" s="15"/>
      <c r="D43" s="15"/>
      <c r="E43" s="15"/>
      <c r="F43" s="15"/>
    </row>
    <row r="44" spans="1:6" x14ac:dyDescent="0.25">
      <c r="A44" s="5" t="s">
        <v>99</v>
      </c>
      <c r="B44" s="8">
        <f>G24</f>
        <v>0</v>
      </c>
    </row>
    <row r="46" spans="1:6" x14ac:dyDescent="0.25">
      <c r="A46" s="8" t="s">
        <v>100</v>
      </c>
    </row>
    <row r="47" spans="1:6" ht="25.5" customHeight="1" x14ac:dyDescent="0.25">
      <c r="A47" s="1" t="str">
        <f>IF(B44&gt;=4,"Growth mindset with entrepreneurial thinking",IF(B44&gt;=2,"Developing entrepreneurial mindset","Traditional/Fixed mindset"))</f>
        <v>Traditional/Fixed mindset</v>
      </c>
    </row>
  </sheetData>
  <mergeCells count="9">
    <mergeCell ref="A43:F43"/>
    <mergeCell ref="A29:E29"/>
    <mergeCell ref="A36:F36"/>
    <mergeCell ref="A1:F1"/>
    <mergeCell ref="A11:E11"/>
    <mergeCell ref="A5:E5"/>
    <mergeCell ref="A23:E23"/>
    <mergeCell ref="A3:F3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workbookViewId="0">
      <selection activeCell="I15" sqref="I15"/>
    </sheetView>
  </sheetViews>
  <sheetFormatPr defaultRowHeight="15" x14ac:dyDescent="0.25"/>
  <cols>
    <col min="1" max="1" width="50" customWidth="1"/>
    <col min="2" max="2" width="20.85546875" customWidth="1"/>
  </cols>
  <sheetData>
    <row r="1" spans="1:6" ht="18" customHeight="1" x14ac:dyDescent="0.25">
      <c r="A1" s="17" t="s">
        <v>101</v>
      </c>
      <c r="B1" s="15"/>
      <c r="C1" s="15"/>
      <c r="D1" s="15"/>
      <c r="E1" s="15"/>
      <c r="F1" s="15"/>
    </row>
    <row r="3" spans="1:6" x14ac:dyDescent="0.25">
      <c r="A3" s="18" t="s">
        <v>102</v>
      </c>
      <c r="B3" s="15"/>
      <c r="C3" s="15"/>
      <c r="D3" s="15"/>
      <c r="E3" s="15"/>
      <c r="F3" s="15"/>
    </row>
    <row r="5" spans="1:6" ht="15.75" customHeight="1" x14ac:dyDescent="0.25">
      <c r="A5" s="13" t="s">
        <v>103</v>
      </c>
      <c r="B5" s="13" t="s">
        <v>104</v>
      </c>
    </row>
    <row r="6" spans="1:6" x14ac:dyDescent="0.25">
      <c r="A6" s="5" t="s">
        <v>105</v>
      </c>
      <c r="B6" s="4"/>
    </row>
    <row r="7" spans="1:6" x14ac:dyDescent="0.25">
      <c r="A7" s="5" t="s">
        <v>106</v>
      </c>
      <c r="B7" s="4"/>
    </row>
    <row r="8" spans="1:6" x14ac:dyDescent="0.25">
      <c r="A8" s="5" t="s">
        <v>107</v>
      </c>
      <c r="B8" s="4"/>
    </row>
    <row r="9" spans="1:6" x14ac:dyDescent="0.25">
      <c r="A9" s="5" t="s">
        <v>108</v>
      </c>
      <c r="B9" s="4"/>
    </row>
    <row r="10" spans="1:6" x14ac:dyDescent="0.25">
      <c r="A10" s="5" t="s">
        <v>109</v>
      </c>
      <c r="B10" s="4"/>
    </row>
    <row r="11" spans="1:6" x14ac:dyDescent="0.25">
      <c r="A11" s="5" t="s">
        <v>110</v>
      </c>
      <c r="B11" s="4"/>
    </row>
    <row r="12" spans="1:6" x14ac:dyDescent="0.25">
      <c r="A12" s="5" t="s">
        <v>111</v>
      </c>
      <c r="B12" s="4"/>
    </row>
    <row r="13" spans="1:6" x14ac:dyDescent="0.25">
      <c r="A13" s="5" t="s">
        <v>112</v>
      </c>
      <c r="B13" s="4"/>
    </row>
    <row r="14" spans="1:6" x14ac:dyDescent="0.25">
      <c r="A14" s="5" t="s">
        <v>113</v>
      </c>
      <c r="B14" s="4"/>
    </row>
    <row r="15" spans="1:6" x14ac:dyDescent="0.25">
      <c r="A15" s="5" t="s">
        <v>114</v>
      </c>
      <c r="B15" s="4"/>
    </row>
    <row r="18" spans="1:6" ht="15.75" customHeight="1" x14ac:dyDescent="0.25">
      <c r="A18" s="16" t="s">
        <v>115</v>
      </c>
      <c r="B18" s="15"/>
      <c r="C18" s="15"/>
      <c r="D18" s="15"/>
      <c r="E18" s="15"/>
      <c r="F18" s="15"/>
    </row>
    <row r="20" spans="1:6" ht="25.5" customHeight="1" x14ac:dyDescent="0.25">
      <c r="A20" s="1" t="s">
        <v>116</v>
      </c>
    </row>
    <row r="21" spans="1:6" x14ac:dyDescent="0.25">
      <c r="A21" s="22"/>
      <c r="B21" s="23"/>
      <c r="C21" s="23"/>
      <c r="D21" s="23"/>
      <c r="E21" s="23"/>
      <c r="F21" s="24"/>
    </row>
    <row r="22" spans="1:6" x14ac:dyDescent="0.25">
      <c r="A22" s="25"/>
      <c r="B22" s="26"/>
      <c r="C22" s="26"/>
      <c r="D22" s="26"/>
      <c r="E22" s="26"/>
      <c r="F22" s="27"/>
    </row>
    <row r="23" spans="1:6" ht="25.5" customHeight="1" x14ac:dyDescent="0.25">
      <c r="A23" s="1" t="s">
        <v>117</v>
      </c>
    </row>
    <row r="24" spans="1:6" x14ac:dyDescent="0.25">
      <c r="A24" s="22"/>
      <c r="B24" s="23"/>
      <c r="C24" s="23"/>
      <c r="D24" s="23"/>
      <c r="E24" s="23"/>
      <c r="F24" s="24"/>
    </row>
    <row r="25" spans="1:6" x14ac:dyDescent="0.25">
      <c r="A25" s="25"/>
      <c r="B25" s="26"/>
      <c r="C25" s="26"/>
      <c r="D25" s="26"/>
      <c r="E25" s="26"/>
      <c r="F25" s="27"/>
    </row>
    <row r="26" spans="1:6" x14ac:dyDescent="0.25">
      <c r="A26" s="1" t="s">
        <v>118</v>
      </c>
    </row>
    <row r="27" spans="1:6" x14ac:dyDescent="0.25">
      <c r="A27" s="22"/>
      <c r="B27" s="23"/>
      <c r="C27" s="23"/>
      <c r="D27" s="23"/>
      <c r="E27" s="23"/>
      <c r="F27" s="24"/>
    </row>
    <row r="28" spans="1:6" x14ac:dyDescent="0.25">
      <c r="A28" s="25"/>
      <c r="B28" s="26"/>
      <c r="C28" s="26"/>
      <c r="D28" s="26"/>
      <c r="E28" s="26"/>
      <c r="F28" s="27"/>
    </row>
    <row r="29" spans="1:6" ht="25.5" customHeight="1" x14ac:dyDescent="0.25">
      <c r="A29" s="1" t="s">
        <v>119</v>
      </c>
    </row>
    <row r="30" spans="1:6" x14ac:dyDescent="0.25">
      <c r="A30" s="22"/>
      <c r="B30" s="23"/>
      <c r="C30" s="23"/>
      <c r="D30" s="23"/>
      <c r="E30" s="23"/>
      <c r="F30" s="24"/>
    </row>
    <row r="31" spans="1:6" x14ac:dyDescent="0.25">
      <c r="A31" s="25"/>
      <c r="B31" s="26"/>
      <c r="C31" s="26"/>
      <c r="D31" s="26"/>
      <c r="E31" s="26"/>
      <c r="F31" s="27"/>
    </row>
    <row r="32" spans="1:6" x14ac:dyDescent="0.25">
      <c r="A32" s="1" t="s">
        <v>120</v>
      </c>
    </row>
    <row r="33" spans="1:6" x14ac:dyDescent="0.25">
      <c r="A33" s="22"/>
      <c r="B33" s="23"/>
      <c r="C33" s="23"/>
      <c r="D33" s="23"/>
      <c r="E33" s="23"/>
      <c r="F33" s="24"/>
    </row>
    <row r="34" spans="1:6" x14ac:dyDescent="0.25">
      <c r="A34" s="25"/>
      <c r="B34" s="26"/>
      <c r="C34" s="26"/>
      <c r="D34" s="26"/>
      <c r="E34" s="26"/>
      <c r="F34" s="27"/>
    </row>
    <row r="36" spans="1:6" ht="15.75" customHeight="1" x14ac:dyDescent="0.25">
      <c r="A36" s="16" t="s">
        <v>121</v>
      </c>
      <c r="B36" s="15"/>
      <c r="C36" s="15"/>
      <c r="D36" s="15"/>
      <c r="E36" s="15"/>
      <c r="F36" s="15"/>
    </row>
    <row r="38" spans="1:6" x14ac:dyDescent="0.25">
      <c r="A38" s="21" t="s">
        <v>122</v>
      </c>
      <c r="B38" s="15"/>
      <c r="C38" s="15"/>
      <c r="D38" s="15"/>
      <c r="E38" s="15"/>
      <c r="F38" s="15"/>
    </row>
    <row r="40" spans="1:6" x14ac:dyDescent="0.25">
      <c r="A40" s="28"/>
      <c r="B40" s="23"/>
      <c r="C40" s="23"/>
      <c r="D40" s="23"/>
      <c r="E40" s="23"/>
      <c r="F40" s="24"/>
    </row>
    <row r="41" spans="1:6" x14ac:dyDescent="0.25">
      <c r="A41" s="29"/>
      <c r="B41" s="15"/>
      <c r="C41" s="15"/>
      <c r="D41" s="15"/>
      <c r="E41" s="15"/>
      <c r="F41" s="30"/>
    </row>
    <row r="42" spans="1:6" x14ac:dyDescent="0.25">
      <c r="A42" s="29"/>
      <c r="B42" s="15"/>
      <c r="C42" s="15"/>
      <c r="D42" s="15"/>
      <c r="E42" s="15"/>
      <c r="F42" s="30"/>
    </row>
    <row r="43" spans="1:6" x14ac:dyDescent="0.25">
      <c r="A43" s="29"/>
      <c r="B43" s="15"/>
      <c r="C43" s="15"/>
      <c r="D43" s="15"/>
      <c r="E43" s="15"/>
      <c r="F43" s="30"/>
    </row>
    <row r="44" spans="1:6" x14ac:dyDescent="0.25">
      <c r="A44" s="25"/>
      <c r="B44" s="26"/>
      <c r="C44" s="26"/>
      <c r="D44" s="26"/>
      <c r="E44" s="26"/>
      <c r="F44" s="27"/>
    </row>
    <row r="46" spans="1:6" ht="15.75" customHeight="1" x14ac:dyDescent="0.25">
      <c r="A46" s="16" t="s">
        <v>123</v>
      </c>
      <c r="B46" s="15"/>
      <c r="C46" s="15"/>
      <c r="D46" s="15"/>
      <c r="E46" s="15"/>
      <c r="F46" s="15"/>
    </row>
    <row r="47" spans="1:6" x14ac:dyDescent="0.25">
      <c r="A47" s="5" t="s">
        <v>124</v>
      </c>
      <c r="B47" s="8" t="e">
        <f>INDEX(A6:A15,MATCH(1,B6:B15,0))</f>
        <v>#N/A</v>
      </c>
    </row>
    <row r="48" spans="1:6" x14ac:dyDescent="0.25">
      <c r="A48" s="5" t="s">
        <v>125</v>
      </c>
      <c r="B48" s="8" t="e">
        <f>INDEX(A6:A15,MATCH(2,B6:B15,0))</f>
        <v>#N/A</v>
      </c>
    </row>
    <row r="49" spans="1:2" x14ac:dyDescent="0.25">
      <c r="A49" s="5" t="s">
        <v>126</v>
      </c>
      <c r="B49" s="8" t="e">
        <f>INDEX(A6:A15,MATCH(3,B6:B15,0))</f>
        <v>#N/A</v>
      </c>
    </row>
  </sheetData>
  <mergeCells count="12">
    <mergeCell ref="A38:F38"/>
    <mergeCell ref="A46:F46"/>
    <mergeCell ref="A36:F36"/>
    <mergeCell ref="A1:F1"/>
    <mergeCell ref="A21:F22"/>
    <mergeCell ref="A30:F31"/>
    <mergeCell ref="A40:F44"/>
    <mergeCell ref="A27:F28"/>
    <mergeCell ref="A24:F25"/>
    <mergeCell ref="A18:F18"/>
    <mergeCell ref="A3:F3"/>
    <mergeCell ref="A33:F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opLeftCell="A6" workbookViewId="0">
      <selection activeCell="J12" sqref="J12"/>
    </sheetView>
  </sheetViews>
  <sheetFormatPr defaultRowHeight="15" x14ac:dyDescent="0.25"/>
  <cols>
    <col min="1" max="1" width="25" customWidth="1"/>
    <col min="2" max="2" width="55" customWidth="1"/>
  </cols>
  <sheetData>
    <row r="1" spans="1:6" ht="18" customHeight="1" x14ac:dyDescent="0.25">
      <c r="A1" s="17" t="s">
        <v>127</v>
      </c>
      <c r="B1" s="15"/>
      <c r="C1" s="15"/>
      <c r="D1" s="15"/>
      <c r="E1" s="15"/>
      <c r="F1" s="15"/>
    </row>
    <row r="3" spans="1:6" ht="15.75" customHeight="1" x14ac:dyDescent="0.25">
      <c r="A3" s="31" t="s">
        <v>128</v>
      </c>
      <c r="B3" s="15"/>
      <c r="C3" s="15"/>
      <c r="D3" s="15"/>
      <c r="E3" s="15"/>
      <c r="F3" s="15"/>
    </row>
    <row r="5" spans="1:6" ht="15.75" customHeight="1" x14ac:dyDescent="0.25">
      <c r="A5" s="5" t="s">
        <v>129</v>
      </c>
      <c r="B5" s="7">
        <f>IF('Entrepreneurial Readiness'!C43&lt;&gt;"",('Entrepreneurial Readiness'!C43),"Complete assessment first")</f>
        <v>0</v>
      </c>
    </row>
    <row r="6" spans="1:6" x14ac:dyDescent="0.25">
      <c r="A6" s="5" t="s">
        <v>100</v>
      </c>
      <c r="B6" s="34" t="str">
        <f>IF(ISNUMBER(B5),IF(B5&gt;=80,"High entrepreneurial readiness",IF(B5&gt;=60,"Moderate readiness",IF(B5&gt;=40,"Significant development needed","Build foundational skills"))),"")</f>
        <v>Build foundational skills</v>
      </c>
      <c r="C6" s="32"/>
      <c r="D6" s="32"/>
      <c r="E6" s="32"/>
      <c r="F6" s="33"/>
    </row>
    <row r="8" spans="1:6" ht="15.75" customHeight="1" x14ac:dyDescent="0.25">
      <c r="A8" s="31" t="s">
        <v>130</v>
      </c>
      <c r="B8" s="15"/>
      <c r="C8" s="15"/>
      <c r="D8" s="15"/>
      <c r="E8" s="15"/>
      <c r="F8" s="15"/>
    </row>
    <row r="10" spans="1:6" x14ac:dyDescent="0.25">
      <c r="A10" s="5" t="s">
        <v>131</v>
      </c>
      <c r="B10" s="34" t="str">
        <f>IF('Mindset Assessment'!A47&lt;&gt;"",('Mindset Assessment'!A47),"Complete assessment first")</f>
        <v>Traditional/Fixed mindset</v>
      </c>
      <c r="C10" s="32"/>
      <c r="D10" s="32"/>
      <c r="E10" s="32"/>
      <c r="F10" s="33"/>
    </row>
    <row r="12" spans="1:6" ht="15.75" customHeight="1" x14ac:dyDescent="0.25">
      <c r="A12" s="31" t="s">
        <v>132</v>
      </c>
      <c r="B12" s="15"/>
      <c r="C12" s="15"/>
      <c r="D12" s="15"/>
      <c r="E12" s="15"/>
      <c r="F12" s="15"/>
    </row>
    <row r="14" spans="1:6" x14ac:dyDescent="0.25">
      <c r="A14" s="5" t="s">
        <v>133</v>
      </c>
      <c r="B14" s="22" t="e">
        <f>'Values &amp; Purpose'!B47</f>
        <v>#N/A</v>
      </c>
      <c r="C14" s="32"/>
      <c r="D14" s="32"/>
      <c r="E14" s="32"/>
      <c r="F14" s="33"/>
    </row>
    <row r="15" spans="1:6" x14ac:dyDescent="0.25">
      <c r="A15" s="5" t="s">
        <v>134</v>
      </c>
      <c r="B15" s="22" t="e">
        <f>'Values &amp; Purpose'!B48</f>
        <v>#N/A</v>
      </c>
      <c r="C15" s="32"/>
      <c r="D15" s="32"/>
      <c r="E15" s="32"/>
      <c r="F15" s="33"/>
    </row>
    <row r="16" spans="1:6" x14ac:dyDescent="0.25">
      <c r="A16" s="5" t="s">
        <v>135</v>
      </c>
      <c r="B16" s="22" t="e">
        <f>'Values &amp; Purpose'!B49</f>
        <v>#N/A</v>
      </c>
      <c r="C16" s="32"/>
      <c r="D16" s="32"/>
      <c r="E16" s="32"/>
      <c r="F16" s="33"/>
    </row>
    <row r="18" spans="1:6" ht="15.75" customHeight="1" x14ac:dyDescent="0.25">
      <c r="A18" s="31" t="s">
        <v>136</v>
      </c>
      <c r="B18" s="15"/>
      <c r="C18" s="15"/>
      <c r="D18" s="15"/>
      <c r="E18" s="15"/>
      <c r="F18" s="15"/>
    </row>
    <row r="20" spans="1:6" ht="38.25" customHeight="1" x14ac:dyDescent="0.25">
      <c r="A20" s="1" t="s">
        <v>137</v>
      </c>
    </row>
    <row r="21" spans="1:6" x14ac:dyDescent="0.25">
      <c r="A21" s="1"/>
    </row>
    <row r="22" spans="1:6" ht="38.25" customHeight="1" x14ac:dyDescent="0.25">
      <c r="A22" s="1" t="s">
        <v>138</v>
      </c>
    </row>
    <row r="23" spans="1:6" ht="25.5" customHeight="1" x14ac:dyDescent="0.25">
      <c r="A23" s="1" t="s">
        <v>139</v>
      </c>
    </row>
    <row r="24" spans="1:6" ht="25.5" customHeight="1" x14ac:dyDescent="0.25">
      <c r="A24" s="1" t="s">
        <v>140</v>
      </c>
    </row>
    <row r="25" spans="1:6" ht="25.5" customHeight="1" x14ac:dyDescent="0.25">
      <c r="A25" s="1" t="s">
        <v>141</v>
      </c>
    </row>
    <row r="26" spans="1:6" ht="25.5" customHeight="1" x14ac:dyDescent="0.25">
      <c r="A26" s="1" t="s">
        <v>142</v>
      </c>
    </row>
    <row r="27" spans="1:6" ht="38.25" customHeight="1" x14ac:dyDescent="0.25">
      <c r="A27" s="1" t="s">
        <v>143</v>
      </c>
    </row>
  </sheetData>
  <mergeCells count="10">
    <mergeCell ref="A1:F1"/>
    <mergeCell ref="A8:F8"/>
    <mergeCell ref="A12:F12"/>
    <mergeCell ref="A18:F18"/>
    <mergeCell ref="B14:F14"/>
    <mergeCell ref="A3:F3"/>
    <mergeCell ref="B6:F6"/>
    <mergeCell ref="B16:F16"/>
    <mergeCell ref="B15:F15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&amp; Overview</vt:lpstr>
      <vt:lpstr>Entrepreneurial Readiness</vt:lpstr>
      <vt:lpstr>Mindset Assessment</vt:lpstr>
      <vt:lpstr>Values &amp; Purpose</vt:lpstr>
      <vt:lpstr>Results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2025-06-24T01:20:58Z</dcterms:created>
  <dcterms:modified xsi:type="dcterms:W3CDTF">2025-08-29T05:03:45Z</dcterms:modified>
</cp:coreProperties>
</file>