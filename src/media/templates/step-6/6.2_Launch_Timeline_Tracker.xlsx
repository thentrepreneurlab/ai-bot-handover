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15d220c0e92c484d/TEL/Formatted books/Templates/New/Step 6 Templates/"/>
    </mc:Choice>
  </mc:AlternateContent>
  <xr:revisionPtr revIDLastSave="0" documentId="14_{B73720E3-DF5A-4C15-B224-19C75D0684E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aunch Timeline" sheetId="1" r:id="rId1"/>
    <sheet name="Milestone Summary" sheetId="2" r:id="rId2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7" i="1" l="1"/>
  <c r="C26" i="1"/>
  <c r="D25" i="1"/>
  <c r="D22" i="1"/>
  <c r="C25" i="1" s="1"/>
  <c r="D26" i="1" s="1"/>
  <c r="C28" i="1" s="1"/>
  <c r="C22" i="1"/>
  <c r="C21" i="1"/>
  <c r="D20" i="1"/>
  <c r="C20" i="1"/>
  <c r="D21" i="1" s="1"/>
  <c r="C19" i="1"/>
  <c r="D18" i="1"/>
  <c r="D14" i="1"/>
  <c r="C13" i="1"/>
  <c r="D12" i="1"/>
  <c r="C9" i="1"/>
  <c r="D7" i="1"/>
  <c r="C7" i="1"/>
  <c r="D8" i="1" s="1"/>
  <c r="C6" i="1"/>
  <c r="C8" i="1" s="1"/>
  <c r="D9" i="1" s="1"/>
  <c r="C12" i="1" s="1"/>
  <c r="D5" i="1"/>
  <c r="C5" i="1"/>
  <c r="D6" i="1" s="1"/>
  <c r="C29" i="1" l="1"/>
  <c r="C10" i="1"/>
  <c r="C14" i="1"/>
  <c r="D15" i="1" s="1"/>
  <c r="C18" i="1" s="1"/>
  <c r="D19" i="1" s="1"/>
  <c r="C23" i="1" s="1"/>
  <c r="D13" i="1"/>
  <c r="C15" i="1" s="1"/>
  <c r="C16" i="1"/>
  <c r="C27" i="1"/>
  <c r="D28" i="1" s="1"/>
</calcChain>
</file>

<file path=xl/sharedStrings.xml><?xml version="1.0" encoding="utf-8"?>
<sst xmlns="http://schemas.openxmlformats.org/spreadsheetml/2006/main" count="144" uniqueCount="104">
  <si>
    <t>Launch Timeline &amp; Milestone Tracker</t>
  </si>
  <si>
    <t>Phase</t>
  </si>
  <si>
    <t>Task/Milestone</t>
  </si>
  <si>
    <t>Start Date</t>
  </si>
  <si>
    <t>End Date</t>
  </si>
  <si>
    <t>Duration</t>
  </si>
  <si>
    <t>Status</t>
  </si>
  <si>
    <t>Owner</t>
  </si>
  <si>
    <t>Dependencies</t>
  </si>
  <si>
    <t>Notes</t>
  </si>
  <si>
    <t>Pre-Launch Preparation</t>
  </si>
  <si>
    <t>Finalize pricing strategy</t>
  </si>
  <si>
    <t>3 days</t>
  </si>
  <si>
    <t>Not Started</t>
  </si>
  <si>
    <t>CEO</t>
  </si>
  <si>
    <t>Market research complete</t>
  </si>
  <si>
    <t>Use pricing calculator</t>
  </si>
  <si>
    <t>Complete website optimization</t>
  </si>
  <si>
    <t>5 days</t>
  </si>
  <si>
    <t>Marketing</t>
  </si>
  <si>
    <t>Content ready</t>
  </si>
  <si>
    <t>SEO and mobile optimization</t>
  </si>
  <si>
    <t>Prepare marketing materials</t>
  </si>
  <si>
    <t>7 days</t>
  </si>
  <si>
    <t>Brand guidelines</t>
  </si>
  <si>
    <t>Brochures, presentations</t>
  </si>
  <si>
    <t>Set up analytics tracking</t>
  </si>
  <si>
    <t>2 days</t>
  </si>
  <si>
    <t>Tech Lead</t>
  </si>
  <si>
    <t>Website complete</t>
  </si>
  <si>
    <t>Google Analytics, etc.</t>
  </si>
  <si>
    <t>Train team on processes</t>
  </si>
  <si>
    <t>Operations</t>
  </si>
  <si>
    <t>SOPs documented</t>
  </si>
  <si>
    <t>Customer service training</t>
  </si>
  <si>
    <t>MILESTONE: Pre-Launch Complete</t>
  </si>
  <si>
    <t>Soft Launch Phase</t>
  </si>
  <si>
    <t>Identify early adopters</t>
  </si>
  <si>
    <t>Sales</t>
  </si>
  <si>
    <t>Target list ready</t>
  </si>
  <si>
    <t>10-15 prospects</t>
  </si>
  <si>
    <t>Launch to early adopters</t>
  </si>
  <si>
    <t>14 days</t>
  </si>
  <si>
    <t>Early adopters identified</t>
  </si>
  <si>
    <t>Personal outreach</t>
  </si>
  <si>
    <t>Collect initial feedback</t>
  </si>
  <si>
    <t>21 days</t>
  </si>
  <si>
    <t>Customer Success</t>
  </si>
  <si>
    <t>Customers onboarded</t>
  </si>
  <si>
    <t>Weekly check-ins</t>
  </si>
  <si>
    <t>Optimize based on feedback</t>
  </si>
  <si>
    <t>Feedback collected</t>
  </si>
  <si>
    <t>Process improvements</t>
  </si>
  <si>
    <t>MILESTONE: Soft Launch Complete</t>
  </si>
  <si>
    <t>Full Launch Phase</t>
  </si>
  <si>
    <t>Launch marketing campaigns</t>
  </si>
  <si>
    <t>1 day</t>
  </si>
  <si>
    <t>Materials ready</t>
  </si>
  <si>
    <t>Multi-channel launch</t>
  </si>
  <si>
    <t>Press release distribution</t>
  </si>
  <si>
    <t>PR</t>
  </si>
  <si>
    <t>Press kit ready</t>
  </si>
  <si>
    <t>Industry publications</t>
  </si>
  <si>
    <t>Social media campaign</t>
  </si>
  <si>
    <t>30 days</t>
  </si>
  <si>
    <t>Content calendar</t>
  </si>
  <si>
    <t>Daily posting schedule</t>
  </si>
  <si>
    <t>Email marketing launch</t>
  </si>
  <si>
    <t>Email list ready</t>
  </si>
  <si>
    <t>Welcome series</t>
  </si>
  <si>
    <t>Networking events</t>
  </si>
  <si>
    <t>60 days</t>
  </si>
  <si>
    <t>Event calendar</t>
  </si>
  <si>
    <t>Industry conferences</t>
  </si>
  <si>
    <t>MILESTONE: Full Launch Complete</t>
  </si>
  <si>
    <t>Post-Launch Optimization</t>
  </si>
  <si>
    <t>Analyze launch metrics</t>
  </si>
  <si>
    <t>Analytics</t>
  </si>
  <si>
    <t>Data collected</t>
  </si>
  <si>
    <t>Performance review</t>
  </si>
  <si>
    <t>Customer feedback analysis</t>
  </si>
  <si>
    <t>Feedback systems active</t>
  </si>
  <si>
    <t>Satisfaction surveys</t>
  </si>
  <si>
    <t>Process optimization</t>
  </si>
  <si>
    <t>Analysis complete</t>
  </si>
  <si>
    <t>Efficiency improvements</t>
  </si>
  <si>
    <t>Scale successful channels</t>
  </si>
  <si>
    <t>Channel performance data</t>
  </si>
  <si>
    <t>Budget reallocation</t>
  </si>
  <si>
    <t>MILESTONE: Launch Optimization Complete</t>
  </si>
  <si>
    <t>Launch Milestone Summary</t>
  </si>
  <si>
    <t>Milestone</t>
  </si>
  <si>
    <t>Target Date</t>
  </si>
  <si>
    <t>Actual Date</t>
  </si>
  <si>
    <t>Key Deliverables</t>
  </si>
  <si>
    <t>Pre-Launch Complete</t>
  </si>
  <si>
    <t>Pending</t>
  </si>
  <si>
    <t>All systems ready, team trained</t>
  </si>
  <si>
    <t>Soft Launch Complete</t>
  </si>
  <si>
    <t>Early adopters engaged, feedback collected</t>
  </si>
  <si>
    <t>Full Launch Complete</t>
  </si>
  <si>
    <t>All channels active, market aware</t>
  </si>
  <si>
    <t>Launch Optimization Complete</t>
  </si>
  <si>
    <t>Processes optimized, scaling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</si>
</sst>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70AD4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  <xf numFmtId="0" fontId="2" fillId="3" borderId="1" xfId="0" applyFont="1" applyFill="1" applyBorder="1"/>
    <xf numFmtId="0" fontId="1" fillId="4" borderId="1" xfId="0" applyFont="1" applyFill="1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selection activeCell="L17" sqref="L17"/>
    </sheetView>
  </sheetViews>
  <sheetFormatPr defaultRowHeight="15" x14ac:dyDescent="0.25"/>
  <cols>
    <col min="1" max="1" width="42.42578125" customWidth="1"/>
    <col min="2" max="2" width="30.7109375" customWidth="1"/>
    <col min="3" max="6" width="12.7109375" customWidth="1"/>
    <col min="7" max="7" width="15.7109375" customWidth="1"/>
    <col min="8" max="8" width="26.85546875" customWidth="1"/>
    <col min="9" max="9" width="25.7109375" customWidth="1"/>
  </cols>
  <sheetData>
    <row r="1" spans="1:9" x14ac:dyDescent="0.25">
      <c r="A1" s="6" t="s">
        <v>0</v>
      </c>
      <c r="B1" s="6"/>
      <c r="C1" s="6"/>
      <c r="D1" s="6"/>
      <c r="E1" s="6"/>
      <c r="F1" s="6"/>
      <c r="G1" s="6"/>
      <c r="H1" s="6"/>
      <c r="I1" s="6"/>
    </row>
    <row r="3" spans="1:9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</row>
    <row r="4" spans="1:9" x14ac:dyDescent="0.25">
      <c r="A4" s="4" t="s">
        <v>10</v>
      </c>
      <c r="B4" s="2"/>
      <c r="C4" s="3"/>
      <c r="D4" s="3"/>
      <c r="E4" s="2"/>
      <c r="F4" s="2"/>
      <c r="G4" s="2"/>
      <c r="H4" s="2"/>
      <c r="I4" s="2"/>
    </row>
    <row r="5" spans="1:9" x14ac:dyDescent="0.25">
      <c r="A5" s="2"/>
      <c r="B5" s="2" t="s">
        <v>11</v>
      </c>
      <c r="C5" s="3">
        <f ca="1">TODAY()</f>
        <v>45863</v>
      </c>
      <c r="D5" s="3">
        <f>C4+3</f>
        <v>3</v>
      </c>
      <c r="E5" s="2" t="s">
        <v>12</v>
      </c>
      <c r="F5" s="2" t="s">
        <v>13</v>
      </c>
      <c r="G5" s="2" t="s">
        <v>14</v>
      </c>
      <c r="H5" s="2" t="s">
        <v>15</v>
      </c>
      <c r="I5" s="2" t="s">
        <v>16</v>
      </c>
    </row>
    <row r="6" spans="1:9" x14ac:dyDescent="0.25">
      <c r="A6" s="2"/>
      <c r="B6" s="2" t="s">
        <v>17</v>
      </c>
      <c r="C6" s="3">
        <f>C4</f>
        <v>0</v>
      </c>
      <c r="D6" s="3">
        <f ca="1">C5+5</f>
        <v>45868</v>
      </c>
      <c r="E6" s="2" t="s">
        <v>18</v>
      </c>
      <c r="F6" s="2" t="s">
        <v>13</v>
      </c>
      <c r="G6" s="2" t="s">
        <v>19</v>
      </c>
      <c r="H6" s="2" t="s">
        <v>20</v>
      </c>
      <c r="I6" s="2" t="s">
        <v>21</v>
      </c>
    </row>
    <row r="7" spans="1:9" x14ac:dyDescent="0.25">
      <c r="A7" s="2"/>
      <c r="B7" s="2" t="s">
        <v>22</v>
      </c>
      <c r="C7" s="3">
        <f>D5</f>
        <v>3</v>
      </c>
      <c r="D7" s="3">
        <f>C6+7</f>
        <v>7</v>
      </c>
      <c r="E7" s="2" t="s">
        <v>23</v>
      </c>
      <c r="F7" s="2" t="s">
        <v>13</v>
      </c>
      <c r="G7" s="2" t="s">
        <v>19</v>
      </c>
      <c r="H7" s="2" t="s">
        <v>24</v>
      </c>
      <c r="I7" s="2" t="s">
        <v>25</v>
      </c>
    </row>
    <row r="8" spans="1:9" x14ac:dyDescent="0.25">
      <c r="A8" s="2"/>
      <c r="B8" s="2" t="s">
        <v>26</v>
      </c>
      <c r="C8" s="3">
        <f>C6</f>
        <v>0</v>
      </c>
      <c r="D8" s="3">
        <f>C7+2</f>
        <v>5</v>
      </c>
      <c r="E8" s="2" t="s">
        <v>27</v>
      </c>
      <c r="F8" s="2" t="s">
        <v>13</v>
      </c>
      <c r="G8" s="2" t="s">
        <v>28</v>
      </c>
      <c r="H8" s="2" t="s">
        <v>29</v>
      </c>
      <c r="I8" s="2" t="s">
        <v>30</v>
      </c>
    </row>
    <row r="9" spans="1:9" x14ac:dyDescent="0.25">
      <c r="A9" s="2"/>
      <c r="B9" s="2" t="s">
        <v>31</v>
      </c>
      <c r="C9" s="3">
        <f>D7</f>
        <v>7</v>
      </c>
      <c r="D9" s="3">
        <f>C8+3</f>
        <v>3</v>
      </c>
      <c r="E9" s="2" t="s">
        <v>12</v>
      </c>
      <c r="F9" s="2" t="s">
        <v>13</v>
      </c>
      <c r="G9" s="2" t="s">
        <v>32</v>
      </c>
      <c r="H9" s="2" t="s">
        <v>33</v>
      </c>
      <c r="I9" s="2" t="s">
        <v>34</v>
      </c>
    </row>
    <row r="10" spans="1:9" x14ac:dyDescent="0.25">
      <c r="A10" s="4" t="s">
        <v>35</v>
      </c>
      <c r="B10" s="2"/>
      <c r="C10" s="3">
        <f ca="1">MAX(D4:D8)</f>
        <v>45868</v>
      </c>
      <c r="D10" s="3"/>
      <c r="E10" s="2"/>
      <c r="F10" s="2"/>
      <c r="G10" s="2"/>
      <c r="H10" s="2"/>
      <c r="I10" s="2"/>
    </row>
    <row r="11" spans="1:9" x14ac:dyDescent="0.25">
      <c r="A11" s="5" t="s">
        <v>36</v>
      </c>
      <c r="B11" s="2"/>
      <c r="C11" s="3"/>
      <c r="D11" s="3"/>
      <c r="E11" s="2"/>
      <c r="F11" s="2"/>
      <c r="G11" s="2"/>
      <c r="H11" s="2"/>
      <c r="I11" s="2"/>
    </row>
    <row r="12" spans="1:9" x14ac:dyDescent="0.25">
      <c r="A12" s="2"/>
      <c r="B12" s="2" t="s">
        <v>37</v>
      </c>
      <c r="C12" s="3">
        <f>D9</f>
        <v>3</v>
      </c>
      <c r="D12" s="3">
        <f>C11+5</f>
        <v>5</v>
      </c>
      <c r="E12" s="2" t="s">
        <v>18</v>
      </c>
      <c r="F12" s="2" t="s">
        <v>13</v>
      </c>
      <c r="G12" s="2" t="s">
        <v>38</v>
      </c>
      <c r="H12" s="2" t="s">
        <v>39</v>
      </c>
      <c r="I12" s="2" t="s">
        <v>40</v>
      </c>
    </row>
    <row r="13" spans="1:9" x14ac:dyDescent="0.25">
      <c r="A13" s="2"/>
      <c r="B13" s="2" t="s">
        <v>41</v>
      </c>
      <c r="C13" s="3">
        <f>D11</f>
        <v>0</v>
      </c>
      <c r="D13" s="3">
        <f>C12+14</f>
        <v>17</v>
      </c>
      <c r="E13" s="2" t="s">
        <v>42</v>
      </c>
      <c r="F13" s="2" t="s">
        <v>13</v>
      </c>
      <c r="G13" s="2" t="s">
        <v>38</v>
      </c>
      <c r="H13" s="2" t="s">
        <v>43</v>
      </c>
      <c r="I13" s="2" t="s">
        <v>44</v>
      </c>
    </row>
    <row r="14" spans="1:9" x14ac:dyDescent="0.25">
      <c r="A14" s="2"/>
      <c r="B14" s="2" t="s">
        <v>45</v>
      </c>
      <c r="C14" s="3">
        <f>C12</f>
        <v>3</v>
      </c>
      <c r="D14" s="3">
        <f>C13+21</f>
        <v>21</v>
      </c>
      <c r="E14" s="2" t="s">
        <v>46</v>
      </c>
      <c r="F14" s="2" t="s">
        <v>13</v>
      </c>
      <c r="G14" s="2" t="s">
        <v>47</v>
      </c>
      <c r="H14" s="2" t="s">
        <v>48</v>
      </c>
      <c r="I14" s="2" t="s">
        <v>49</v>
      </c>
    </row>
    <row r="15" spans="1:9" x14ac:dyDescent="0.25">
      <c r="A15" s="2"/>
      <c r="B15" s="2" t="s">
        <v>50</v>
      </c>
      <c r="C15" s="3">
        <f>D13</f>
        <v>17</v>
      </c>
      <c r="D15" s="3">
        <f>C14+7</f>
        <v>10</v>
      </c>
      <c r="E15" s="2" t="s">
        <v>23</v>
      </c>
      <c r="F15" s="2" t="s">
        <v>13</v>
      </c>
      <c r="G15" s="2" t="s">
        <v>32</v>
      </c>
      <c r="H15" s="2" t="s">
        <v>51</v>
      </c>
      <c r="I15" s="2" t="s">
        <v>52</v>
      </c>
    </row>
    <row r="16" spans="1:9" x14ac:dyDescent="0.25">
      <c r="A16" s="4" t="s">
        <v>53</v>
      </c>
      <c r="B16" s="2"/>
      <c r="C16" s="3">
        <f>MAX(D11:D14)</f>
        <v>21</v>
      </c>
      <c r="D16" s="3"/>
      <c r="E16" s="2"/>
      <c r="F16" s="2"/>
      <c r="G16" s="2"/>
      <c r="H16" s="2"/>
      <c r="I16" s="2"/>
    </row>
    <row r="17" spans="1:9" x14ac:dyDescent="0.25">
      <c r="A17" s="5" t="s">
        <v>54</v>
      </c>
      <c r="B17" s="2"/>
      <c r="C17" s="3"/>
      <c r="D17" s="3"/>
      <c r="E17" s="2"/>
      <c r="F17" s="2"/>
      <c r="G17" s="2"/>
      <c r="H17" s="2"/>
      <c r="I17" s="2"/>
    </row>
    <row r="18" spans="1:9" x14ac:dyDescent="0.25">
      <c r="A18" s="2"/>
      <c r="B18" s="2" t="s">
        <v>55</v>
      </c>
      <c r="C18" s="3">
        <f>D15</f>
        <v>10</v>
      </c>
      <c r="D18" s="3">
        <f>C17+1</f>
        <v>1</v>
      </c>
      <c r="E18" s="2" t="s">
        <v>56</v>
      </c>
      <c r="F18" s="2" t="s">
        <v>13</v>
      </c>
      <c r="G18" s="2" t="s">
        <v>19</v>
      </c>
      <c r="H18" s="2" t="s">
        <v>57</v>
      </c>
      <c r="I18" s="2" t="s">
        <v>58</v>
      </c>
    </row>
    <row r="19" spans="1:9" x14ac:dyDescent="0.25">
      <c r="A19" s="2"/>
      <c r="B19" s="2" t="s">
        <v>59</v>
      </c>
      <c r="C19" s="3">
        <f>C17</f>
        <v>0</v>
      </c>
      <c r="D19" s="3">
        <f>C18+1</f>
        <v>11</v>
      </c>
      <c r="E19" s="2" t="s">
        <v>56</v>
      </c>
      <c r="F19" s="2" t="s">
        <v>13</v>
      </c>
      <c r="G19" s="2" t="s">
        <v>60</v>
      </c>
      <c r="H19" s="2" t="s">
        <v>61</v>
      </c>
      <c r="I19" s="2" t="s">
        <v>62</v>
      </c>
    </row>
    <row r="20" spans="1:9" x14ac:dyDescent="0.25">
      <c r="A20" s="2"/>
      <c r="B20" s="2" t="s">
        <v>63</v>
      </c>
      <c r="C20" s="3">
        <f>C17</f>
        <v>0</v>
      </c>
      <c r="D20" s="3">
        <f>C19+30</f>
        <v>30</v>
      </c>
      <c r="E20" s="2" t="s">
        <v>64</v>
      </c>
      <c r="F20" s="2" t="s">
        <v>13</v>
      </c>
      <c r="G20" s="2" t="s">
        <v>19</v>
      </c>
      <c r="H20" s="2" t="s">
        <v>65</v>
      </c>
      <c r="I20" s="2" t="s">
        <v>66</v>
      </c>
    </row>
    <row r="21" spans="1:9" x14ac:dyDescent="0.25">
      <c r="A21" s="2"/>
      <c r="B21" s="2" t="s">
        <v>67</v>
      </c>
      <c r="C21" s="3">
        <f>C17</f>
        <v>0</v>
      </c>
      <c r="D21" s="3">
        <f>C20+30</f>
        <v>30</v>
      </c>
      <c r="E21" s="2" t="s">
        <v>64</v>
      </c>
      <c r="F21" s="2" t="s">
        <v>13</v>
      </c>
      <c r="G21" s="2" t="s">
        <v>19</v>
      </c>
      <c r="H21" s="2" t="s">
        <v>68</v>
      </c>
      <c r="I21" s="2" t="s">
        <v>69</v>
      </c>
    </row>
    <row r="22" spans="1:9" x14ac:dyDescent="0.25">
      <c r="A22" s="2"/>
      <c r="B22" s="2" t="s">
        <v>70</v>
      </c>
      <c r="C22" s="3">
        <f>C17</f>
        <v>0</v>
      </c>
      <c r="D22" s="3">
        <f>C21+60</f>
        <v>60</v>
      </c>
      <c r="E22" s="2" t="s">
        <v>71</v>
      </c>
      <c r="F22" s="2" t="s">
        <v>13</v>
      </c>
      <c r="G22" s="2" t="s">
        <v>38</v>
      </c>
      <c r="H22" s="2" t="s">
        <v>72</v>
      </c>
      <c r="I22" s="2" t="s">
        <v>73</v>
      </c>
    </row>
    <row r="23" spans="1:9" x14ac:dyDescent="0.25">
      <c r="A23" s="4" t="s">
        <v>74</v>
      </c>
      <c r="B23" s="2"/>
      <c r="C23" s="3">
        <f>MAX(D17:D21)</f>
        <v>30</v>
      </c>
      <c r="D23" s="3"/>
      <c r="E23" s="2"/>
      <c r="F23" s="2"/>
      <c r="G23" s="2"/>
      <c r="H23" s="2"/>
      <c r="I23" s="2"/>
    </row>
    <row r="24" spans="1:9" x14ac:dyDescent="0.25">
      <c r="A24" s="5" t="s">
        <v>75</v>
      </c>
      <c r="B24" s="2"/>
      <c r="C24" s="3"/>
      <c r="D24" s="3"/>
      <c r="E24" s="2"/>
      <c r="F24" s="2"/>
      <c r="G24" s="2"/>
      <c r="H24" s="2"/>
      <c r="I24" s="2"/>
    </row>
    <row r="25" spans="1:9" x14ac:dyDescent="0.25">
      <c r="A25" s="2"/>
      <c r="B25" s="2" t="s">
        <v>76</v>
      </c>
      <c r="C25" s="3">
        <f>D22</f>
        <v>60</v>
      </c>
      <c r="D25" s="3">
        <f>C24+7</f>
        <v>7</v>
      </c>
      <c r="E25" s="2" t="s">
        <v>23</v>
      </c>
      <c r="F25" s="2" t="s">
        <v>13</v>
      </c>
      <c r="G25" s="2" t="s">
        <v>77</v>
      </c>
      <c r="H25" s="2" t="s">
        <v>78</v>
      </c>
      <c r="I25" s="2" t="s">
        <v>79</v>
      </c>
    </row>
    <row r="26" spans="1:9" x14ac:dyDescent="0.25">
      <c r="A26" s="2"/>
      <c r="B26" s="2" t="s">
        <v>80</v>
      </c>
      <c r="C26" s="3">
        <f>C24</f>
        <v>0</v>
      </c>
      <c r="D26" s="3">
        <f>C25+5</f>
        <v>65</v>
      </c>
      <c r="E26" s="2" t="s">
        <v>18</v>
      </c>
      <c r="F26" s="2" t="s">
        <v>13</v>
      </c>
      <c r="G26" s="2" t="s">
        <v>47</v>
      </c>
      <c r="H26" s="2" t="s">
        <v>81</v>
      </c>
      <c r="I26" s="2" t="s">
        <v>82</v>
      </c>
    </row>
    <row r="27" spans="1:9" x14ac:dyDescent="0.25">
      <c r="A27" s="2"/>
      <c r="B27" s="2" t="s">
        <v>83</v>
      </c>
      <c r="C27" s="3">
        <f>D25</f>
        <v>7</v>
      </c>
      <c r="D27" s="3">
        <f>C26+14</f>
        <v>14</v>
      </c>
      <c r="E27" s="2" t="s">
        <v>42</v>
      </c>
      <c r="F27" s="2" t="s">
        <v>13</v>
      </c>
      <c r="G27" s="2" t="s">
        <v>32</v>
      </c>
      <c r="H27" s="2" t="s">
        <v>84</v>
      </c>
      <c r="I27" s="2" t="s">
        <v>85</v>
      </c>
    </row>
    <row r="28" spans="1:9" x14ac:dyDescent="0.25">
      <c r="A28" s="2"/>
      <c r="B28" s="2" t="s">
        <v>86</v>
      </c>
      <c r="C28" s="3">
        <f>D26</f>
        <v>65</v>
      </c>
      <c r="D28" s="3">
        <f>C27+30</f>
        <v>37</v>
      </c>
      <c r="E28" s="2" t="s">
        <v>64</v>
      </c>
      <c r="F28" s="2" t="s">
        <v>13</v>
      </c>
      <c r="G28" s="2" t="s">
        <v>19</v>
      </c>
      <c r="H28" s="2" t="s">
        <v>87</v>
      </c>
      <c r="I28" s="2" t="s">
        <v>88</v>
      </c>
    </row>
    <row r="29" spans="1:9" x14ac:dyDescent="0.25">
      <c r="A29" s="4" t="s">
        <v>89</v>
      </c>
      <c r="B29" s="2"/>
      <c r="C29" s="3">
        <f>MAX(D24:D27)</f>
        <v>65</v>
      </c>
      <c r="D29" s="3"/>
      <c r="E29" s="2"/>
      <c r="F29" s="2"/>
      <c r="G29" s="2"/>
      <c r="H29" s="2"/>
      <c r="I29" s="2"/>
    </row>
  </sheetData>
  <mergeCells count="1">
    <mergeCell ref="A1:I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7"/>
  <sheetViews>
    <sheetView workbookViewId="0">
      <selection sqref="A1:E1"/>
    </sheetView>
  </sheetViews>
  <sheetFormatPr defaultRowHeight="15" x14ac:dyDescent="0.25"/>
  <cols>
    <col min="1" max="1" width="25.7109375" customWidth="1"/>
    <col min="2" max="3" width="15.7109375" customWidth="1"/>
    <col min="4" max="4" width="12.7109375" customWidth="1"/>
    <col min="5" max="5" width="30.7109375" customWidth="1"/>
  </cols>
  <sheetData>
    <row r="1" spans="1:5" x14ac:dyDescent="0.25">
      <c r="A1" s="6" t="s">
        <v>90</v>
      </c>
      <c r="B1" s="6"/>
      <c r="C1" s="6"/>
      <c r="D1" s="6"/>
      <c r="E1" s="6"/>
    </row>
    <row r="3" spans="1:5" x14ac:dyDescent="0.25">
      <c r="A3" s="1" t="s">
        <v>91</v>
      </c>
      <c r="B3" s="1" t="s">
        <v>92</v>
      </c>
      <c r="C3" s="1" t="s">
        <v>93</v>
      </c>
      <c r="D3" s="1" t="s">
        <v>6</v>
      </c>
      <c r="E3" s="1" t="s">
        <v>94</v>
      </c>
    </row>
    <row r="4" spans="1:5" x14ac:dyDescent="0.25">
      <c r="A4" s="2" t="s">
        <v>95</v>
      </c>
      <c r="B4" s="3">
        <v>0</v>
      </c>
      <c r="C4" s="3"/>
      <c r="D4" s="2" t="s">
        <v>96</v>
      </c>
      <c r="E4" s="2" t="s">
        <v>97</v>
      </c>
    </row>
    <row r="5" spans="1:5" x14ac:dyDescent="0.25">
      <c r="A5" s="2" t="s">
        <v>98</v>
      </c>
      <c r="B5" s="3">
        <v>0</v>
      </c>
      <c r="C5" s="3"/>
      <c r="D5" s="2" t="s">
        <v>96</v>
      </c>
      <c r="E5" s="2" t="s">
        <v>99</v>
      </c>
    </row>
    <row r="6" spans="1:5" x14ac:dyDescent="0.25">
      <c r="A6" s="2" t="s">
        <v>100</v>
      </c>
      <c r="B6" s="3">
        <v>0</v>
      </c>
      <c r="C6" s="3"/>
      <c r="D6" s="2" t="s">
        <v>96</v>
      </c>
      <c r="E6" s="2" t="s">
        <v>101</v>
      </c>
    </row>
    <row r="7" spans="1:5" x14ac:dyDescent="0.25">
      <c r="A7" s="2" t="s">
        <v>102</v>
      </c>
      <c r="B7" s="3">
        <v>0</v>
      </c>
      <c r="C7" s="3"/>
      <c r="D7" s="2" t="s">
        <v>96</v>
      </c>
      <c r="E7" s="2" t="s">
        <v>103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Launch Timeline</vt:lpstr>
      <vt:lpstr>Milestone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AEGS</dc:creator>
  <cp:lastModifiedBy>BRUNDA GOWRAV</cp:lastModifiedBy>
  <dcterms:created xsi:type="dcterms:W3CDTF">2025-07-09T07:52:54Z</dcterms:created>
  <dcterms:modified xsi:type="dcterms:W3CDTF">2025-07-25T06:31:03Z</dcterms:modified>
</cp:coreProperties>
</file>