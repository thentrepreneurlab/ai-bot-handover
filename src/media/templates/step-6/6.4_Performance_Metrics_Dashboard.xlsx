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5d220c0e92c484d/TEL/Formatted books/Templates/New/Step 6 Templates/"/>
    </mc:Choice>
  </mc:AlternateContent>
  <xr:revisionPtr revIDLastSave="58" documentId="11_CC8010C14414D3EF909BB697B9A018C86300412C" xr6:coauthVersionLast="47" xr6:coauthVersionMax="47" xr10:uidLastSave="{97314F0F-2659-4B29-811B-6C90717579F2}"/>
  <bookViews>
    <workbookView xWindow="-120" yWindow="-120" windowWidth="29040" windowHeight="15840" activeTab="2" xr2:uid="{00000000-000D-0000-FFFF-FFFF00000000}"/>
  </bookViews>
  <sheets>
    <sheet name="Performance Dashboard" sheetId="1" r:id="rId1"/>
    <sheet name="Channel Performance" sheetId="2" r:id="rId2"/>
    <sheet name="Customer Metric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4" i="2"/>
  <c r="G4" i="2"/>
  <c r="F4" i="2"/>
  <c r="F6" i="1"/>
  <c r="E11" i="2"/>
  <c r="G11" i="2" s="1"/>
  <c r="C11" i="2"/>
  <c r="H11" i="2" s="1"/>
  <c r="B11" i="2"/>
  <c r="H10" i="2"/>
  <c r="G10" i="2"/>
  <c r="F10" i="2"/>
  <c r="D10" i="2"/>
  <c r="H9" i="2"/>
  <c r="G9" i="2"/>
  <c r="F9" i="2"/>
  <c r="D9" i="2"/>
  <c r="H8" i="2"/>
  <c r="G8" i="2"/>
  <c r="F8" i="2"/>
  <c r="D8" i="2"/>
  <c r="H7" i="2"/>
  <c r="G7" i="2"/>
  <c r="F7" i="2"/>
  <c r="D7" i="2"/>
  <c r="H6" i="2"/>
  <c r="G6" i="2"/>
  <c r="F6" i="2"/>
  <c r="D6" i="2"/>
  <c r="G5" i="2"/>
  <c r="F5" i="2"/>
  <c r="D5" i="2"/>
  <c r="D4" i="2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E6" i="1"/>
  <c r="F11" i="2" l="1"/>
  <c r="D11" i="2"/>
</calcChain>
</file>

<file path=xl/sharedStrings.xml><?xml version="1.0" encoding="utf-8"?>
<sst xmlns="http://schemas.openxmlformats.org/spreadsheetml/2006/main" count="47" uniqueCount="44">
  <si>
    <t>Launch Performance Metrics Dashboard</t>
  </si>
  <si>
    <t>KEY PERFORMANCE INDICATORS</t>
  </si>
  <si>
    <t>Metric</t>
  </si>
  <si>
    <t>Current Month</t>
  </si>
  <si>
    <t>Previous Month</t>
  </si>
  <si>
    <t>Target</t>
  </si>
  <si>
    <t>Variance</t>
  </si>
  <si>
    <t>Status</t>
  </si>
  <si>
    <t>Revenue</t>
  </si>
  <si>
    <t>New Customers</t>
  </si>
  <si>
    <t>Customer Acquisition Cost</t>
  </si>
  <si>
    <t>Conversion Rate</t>
  </si>
  <si>
    <t>Customer Satisfaction</t>
  </si>
  <si>
    <t>Monthly Recurring Revenue</t>
  </si>
  <si>
    <t>Churn Rate</t>
  </si>
  <si>
    <t>Net Promoter Score</t>
  </si>
  <si>
    <t>Marketing Channel Performance</t>
  </si>
  <si>
    <t>Channel</t>
  </si>
  <si>
    <t>Leads Generated</t>
  </si>
  <si>
    <t>Conversions</t>
  </si>
  <si>
    <t>Cost</t>
  </si>
  <si>
    <t>Cost per Lead</t>
  </si>
  <si>
    <t>Cost per Acquisition</t>
  </si>
  <si>
    <t>ROI</t>
  </si>
  <si>
    <t>Google Ads</t>
  </si>
  <si>
    <t>Facebook Ads</t>
  </si>
  <si>
    <t>LinkedIn</t>
  </si>
  <si>
    <t>Email Marketing</t>
  </si>
  <si>
    <t>Referrals</t>
  </si>
  <si>
    <t>Content Marketing</t>
  </si>
  <si>
    <t>Networking</t>
  </si>
  <si>
    <t>TOTAL</t>
  </si>
  <si>
    <t>Customer Acquisition &amp; Retention Metrics</t>
  </si>
  <si>
    <t>MONTHLY CUSTOMER DATA</t>
  </si>
  <si>
    <t>Month</t>
  </si>
  <si>
    <t>Lost Customers</t>
  </si>
  <si>
    <t>Net Growth</t>
  </si>
  <si>
    <t>Total Customers</t>
  </si>
  <si>
    <t>February 2025</t>
  </si>
  <si>
    <t>March 2025</t>
  </si>
  <si>
    <t>April 2025</t>
  </si>
  <si>
    <t>May 2025</t>
  </si>
  <si>
    <t>June 2025</t>
  </si>
  <si>
    <t>July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</si>
</sst>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center"/>
    </xf>
    <xf numFmtId="10" fontId="1" fillId="2" borderId="1" xfId="0" applyNumberFormat="1" applyFont="1" applyFill="1" applyBorder="1" applyAlignment="1">
      <alignment horizontal="center" vertical="center"/>
    </xf>
    <xf numFmtId="10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E20" sqref="E20"/>
    </sheetView>
  </sheetViews>
  <sheetFormatPr defaultRowHeight="15" x14ac:dyDescent="0.25"/>
  <cols>
    <col min="1" max="1" width="25.7109375" customWidth="1"/>
    <col min="2" max="5" width="15.7109375" customWidth="1"/>
    <col min="6" max="6" width="20.85546875" customWidth="1"/>
  </cols>
  <sheetData>
    <row r="1" spans="1:6" x14ac:dyDescent="0.25">
      <c r="A1" s="8" t="s">
        <v>0</v>
      </c>
      <c r="B1" s="8"/>
      <c r="C1" s="8"/>
      <c r="D1" s="8"/>
      <c r="E1" s="8"/>
      <c r="F1" s="8"/>
    </row>
    <row r="3" spans="1:6" x14ac:dyDescent="0.25">
      <c r="A3" s="9" t="s">
        <v>1</v>
      </c>
      <c r="B3" s="9"/>
      <c r="C3" s="9"/>
      <c r="D3" s="9"/>
      <c r="E3" s="9"/>
      <c r="F3" s="9"/>
    </row>
    <row r="5" spans="1:6" x14ac:dyDescent="0.2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1:6" x14ac:dyDescent="0.25">
      <c r="A6" s="2" t="s">
        <v>8</v>
      </c>
      <c r="B6" s="3">
        <v>15000</v>
      </c>
      <c r="C6" s="3">
        <v>12000</v>
      </c>
      <c r="D6" s="3">
        <v>18000</v>
      </c>
      <c r="E6" s="3">
        <f t="shared" ref="E6:E13" si="0">B6-D6</f>
        <v>-3000</v>
      </c>
      <c r="F6" s="2" t="str">
        <f>IF(B6&gt;=D6,"✓","⚠")</f>
        <v>⚠</v>
      </c>
    </row>
    <row r="7" spans="1:6" x14ac:dyDescent="0.25">
      <c r="A7" s="2" t="s">
        <v>9</v>
      </c>
      <c r="B7" s="4">
        <v>25</v>
      </c>
      <c r="C7" s="4">
        <v>20</v>
      </c>
      <c r="D7" s="4">
        <v>30</v>
      </c>
      <c r="E7" s="4">
        <f t="shared" si="0"/>
        <v>-5</v>
      </c>
      <c r="F7" s="2" t="str">
        <f>IF(B7&gt;=D7,"✓","⚠")</f>
        <v>⚠</v>
      </c>
    </row>
    <row r="8" spans="1:6" x14ac:dyDescent="0.25">
      <c r="A8" s="2" t="s">
        <v>10</v>
      </c>
      <c r="B8" s="3">
        <v>200</v>
      </c>
      <c r="C8" s="3">
        <v>250</v>
      </c>
      <c r="D8" s="3">
        <v>180</v>
      </c>
      <c r="E8" s="3">
        <f t="shared" si="0"/>
        <v>20</v>
      </c>
      <c r="F8" s="2" t="str">
        <f>IF(B8&lt;=D8,"✓","⚠")</f>
        <v>⚠</v>
      </c>
    </row>
    <row r="9" spans="1:6" x14ac:dyDescent="0.25">
      <c r="A9" s="2" t="s">
        <v>11</v>
      </c>
      <c r="B9" s="5">
        <v>0.15</v>
      </c>
      <c r="C9" s="5">
        <v>0.12</v>
      </c>
      <c r="D9" s="5">
        <v>0.2</v>
      </c>
      <c r="E9" s="5">
        <f t="shared" si="0"/>
        <v>-5.0000000000000017E-2</v>
      </c>
      <c r="F9" s="2" t="str">
        <f>IF(B9&gt;=D9,"✓","⚠")</f>
        <v>⚠</v>
      </c>
    </row>
    <row r="10" spans="1:6" x14ac:dyDescent="0.25">
      <c r="A10" s="2" t="s">
        <v>12</v>
      </c>
      <c r="B10" s="2">
        <v>8.5</v>
      </c>
      <c r="C10" s="2">
        <v>8.1999999999999993</v>
      </c>
      <c r="D10" s="2">
        <v>9</v>
      </c>
      <c r="E10" s="2">
        <f t="shared" si="0"/>
        <v>-0.5</v>
      </c>
      <c r="F10" s="2" t="str">
        <f>IF(B10&gt;=D10,"✓","⚠")</f>
        <v>⚠</v>
      </c>
    </row>
    <row r="11" spans="1:6" x14ac:dyDescent="0.25">
      <c r="A11" s="2" t="s">
        <v>13</v>
      </c>
      <c r="B11" s="3">
        <v>8000</v>
      </c>
      <c r="C11" s="3">
        <v>6500</v>
      </c>
      <c r="D11" s="3">
        <v>10000</v>
      </c>
      <c r="E11" s="3">
        <f t="shared" si="0"/>
        <v>-2000</v>
      </c>
      <c r="F11" s="2" t="str">
        <f>IF(B11&gt;=D11,"✓","⚠")</f>
        <v>⚠</v>
      </c>
    </row>
    <row r="12" spans="1:6" x14ac:dyDescent="0.25">
      <c r="A12" s="2" t="s">
        <v>14</v>
      </c>
      <c r="B12" s="5">
        <v>0.05</v>
      </c>
      <c r="C12" s="5">
        <v>0.08</v>
      </c>
      <c r="D12" s="5">
        <v>0.03</v>
      </c>
      <c r="E12" s="5">
        <f t="shared" si="0"/>
        <v>2.0000000000000004E-2</v>
      </c>
      <c r="F12" s="2" t="str">
        <f>IF(B12&lt;=D12,"✓","⚠")</f>
        <v>⚠</v>
      </c>
    </row>
    <row r="13" spans="1:6" x14ac:dyDescent="0.25">
      <c r="A13" s="2" t="s">
        <v>15</v>
      </c>
      <c r="B13" s="2">
        <v>7.5</v>
      </c>
      <c r="C13" s="2">
        <v>7</v>
      </c>
      <c r="D13" s="2">
        <v>8</v>
      </c>
      <c r="E13" s="2">
        <f t="shared" si="0"/>
        <v>-0.5</v>
      </c>
      <c r="F13" s="2" t="str">
        <f>IF(B13&gt;=D13,"✓","⚠")</f>
        <v>⚠</v>
      </c>
    </row>
  </sheetData>
  <mergeCells count="2">
    <mergeCell ref="A1:F1"/>
    <mergeCell ref="A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activeCell="J12" sqref="J12"/>
    </sheetView>
  </sheetViews>
  <sheetFormatPr defaultRowHeight="15" x14ac:dyDescent="0.25"/>
  <cols>
    <col min="1" max="1" width="20.7109375" customWidth="1"/>
    <col min="2" max="6" width="15.7109375" customWidth="1"/>
    <col min="7" max="7" width="26.5703125" customWidth="1"/>
    <col min="8" max="8" width="15.7109375" customWidth="1"/>
  </cols>
  <sheetData>
    <row r="1" spans="1:8" x14ac:dyDescent="0.25">
      <c r="A1" s="8" t="s">
        <v>16</v>
      </c>
      <c r="B1" s="8"/>
      <c r="C1" s="8"/>
      <c r="D1" s="8"/>
      <c r="E1" s="8"/>
      <c r="F1" s="8"/>
      <c r="G1" s="8"/>
      <c r="H1" s="8"/>
    </row>
    <row r="3" spans="1:8" x14ac:dyDescent="0.25">
      <c r="A3" s="1" t="s">
        <v>17</v>
      </c>
      <c r="B3" s="1" t="s">
        <v>18</v>
      </c>
      <c r="C3" s="1" t="s">
        <v>19</v>
      </c>
      <c r="D3" s="1" t="s">
        <v>11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 x14ac:dyDescent="0.25">
      <c r="A4" s="2" t="s">
        <v>24</v>
      </c>
      <c r="B4" s="4">
        <v>150</v>
      </c>
      <c r="C4" s="4">
        <v>23</v>
      </c>
      <c r="D4" s="5">
        <f t="shared" ref="D4:D11" si="0">C4/B4</f>
        <v>0.15333333333333332</v>
      </c>
      <c r="E4" s="3">
        <v>2500</v>
      </c>
      <c r="F4" s="3">
        <f>E4/B4</f>
        <v>16.666666666666668</v>
      </c>
      <c r="G4" s="3">
        <f>E4/C4</f>
        <v>108.69565217391305</v>
      </c>
      <c r="H4" s="5">
        <f>(C4*500-E4)/E4</f>
        <v>3.6</v>
      </c>
    </row>
    <row r="5" spans="1:8" x14ac:dyDescent="0.25">
      <c r="A5" s="2" t="s">
        <v>25</v>
      </c>
      <c r="B5" s="4">
        <v>120</v>
      </c>
      <c r="C5" s="4">
        <v>18</v>
      </c>
      <c r="D5" s="5">
        <f t="shared" si="0"/>
        <v>0.15</v>
      </c>
      <c r="E5" s="3">
        <v>1800</v>
      </c>
      <c r="F5" s="3">
        <f t="shared" ref="F5:F11" si="1">E5/B5</f>
        <v>15</v>
      </c>
      <c r="G5" s="3">
        <f t="shared" ref="G5:G11" si="2">E5/C5</f>
        <v>100</v>
      </c>
      <c r="H5" s="5">
        <f>(C5*500-E5)/E5</f>
        <v>4</v>
      </c>
    </row>
    <row r="6" spans="1:8" x14ac:dyDescent="0.25">
      <c r="A6" s="2" t="s">
        <v>26</v>
      </c>
      <c r="B6" s="4">
        <v>80</v>
      </c>
      <c r="C6" s="4">
        <v>12</v>
      </c>
      <c r="D6" s="5">
        <f t="shared" si="0"/>
        <v>0.15</v>
      </c>
      <c r="E6" s="3">
        <v>1200</v>
      </c>
      <c r="F6" s="3">
        <f t="shared" si="1"/>
        <v>15</v>
      </c>
      <c r="G6" s="3">
        <f t="shared" si="2"/>
        <v>100</v>
      </c>
      <c r="H6" s="5">
        <f t="shared" ref="H6:H11" si="3">(C6*500-E6)/E6</f>
        <v>4</v>
      </c>
    </row>
    <row r="7" spans="1:8" x14ac:dyDescent="0.25">
      <c r="A7" s="2" t="s">
        <v>27</v>
      </c>
      <c r="B7" s="4">
        <v>200</v>
      </c>
      <c r="C7" s="4">
        <v>35</v>
      </c>
      <c r="D7" s="5">
        <f t="shared" si="0"/>
        <v>0.17499999999999999</v>
      </c>
      <c r="E7" s="3">
        <v>300</v>
      </c>
      <c r="F7" s="3">
        <f t="shared" si="1"/>
        <v>1.5</v>
      </c>
      <c r="G7" s="3">
        <f t="shared" si="2"/>
        <v>8.5714285714285712</v>
      </c>
      <c r="H7" s="5">
        <f t="shared" si="3"/>
        <v>57.333333333333336</v>
      </c>
    </row>
    <row r="8" spans="1:8" x14ac:dyDescent="0.25">
      <c r="A8" s="2" t="s">
        <v>28</v>
      </c>
      <c r="B8" s="4">
        <v>60</v>
      </c>
      <c r="C8" s="4">
        <v>18</v>
      </c>
      <c r="D8" s="5">
        <f t="shared" si="0"/>
        <v>0.3</v>
      </c>
      <c r="E8" s="3">
        <v>200</v>
      </c>
      <c r="F8" s="3">
        <f t="shared" si="1"/>
        <v>3.3333333333333335</v>
      </c>
      <c r="G8" s="3">
        <f t="shared" si="2"/>
        <v>11.111111111111111</v>
      </c>
      <c r="H8" s="5">
        <f t="shared" si="3"/>
        <v>44</v>
      </c>
    </row>
    <row r="9" spans="1:8" x14ac:dyDescent="0.25">
      <c r="A9" s="2" t="s">
        <v>29</v>
      </c>
      <c r="B9" s="4">
        <v>100</v>
      </c>
      <c r="C9" s="4">
        <v>15</v>
      </c>
      <c r="D9" s="5">
        <f t="shared" si="0"/>
        <v>0.15</v>
      </c>
      <c r="E9" s="3">
        <v>800</v>
      </c>
      <c r="F9" s="3">
        <f t="shared" si="1"/>
        <v>8</v>
      </c>
      <c r="G9" s="3">
        <f t="shared" si="2"/>
        <v>53.333333333333336</v>
      </c>
      <c r="H9" s="5">
        <f t="shared" si="3"/>
        <v>8.375</v>
      </c>
    </row>
    <row r="10" spans="1:8" x14ac:dyDescent="0.25">
      <c r="A10" s="2" t="s">
        <v>30</v>
      </c>
      <c r="B10" s="4">
        <v>40</v>
      </c>
      <c r="C10" s="4">
        <v>8</v>
      </c>
      <c r="D10" s="5">
        <f t="shared" si="0"/>
        <v>0.2</v>
      </c>
      <c r="E10" s="3">
        <v>600</v>
      </c>
      <c r="F10" s="3">
        <f t="shared" si="1"/>
        <v>15</v>
      </c>
      <c r="G10" s="3">
        <f t="shared" si="2"/>
        <v>75</v>
      </c>
      <c r="H10" s="5">
        <f t="shared" si="3"/>
        <v>5.666666666666667</v>
      </c>
    </row>
    <row r="11" spans="1:8" x14ac:dyDescent="0.25">
      <c r="A11" s="2" t="s">
        <v>31</v>
      </c>
      <c r="B11" s="4">
        <f>SUM(B4:B10)</f>
        <v>750</v>
      </c>
      <c r="C11" s="4">
        <f>SUM(C4:C10)</f>
        <v>129</v>
      </c>
      <c r="D11" s="5">
        <f t="shared" si="0"/>
        <v>0.17199999999999999</v>
      </c>
      <c r="E11" s="3">
        <f>SUM(E4:E10)</f>
        <v>7400</v>
      </c>
      <c r="F11" s="3">
        <f t="shared" si="1"/>
        <v>9.8666666666666671</v>
      </c>
      <c r="G11" s="3">
        <f t="shared" si="2"/>
        <v>57.36434108527132</v>
      </c>
      <c r="H11" s="5">
        <f t="shared" si="3"/>
        <v>7.7162162162162158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tabSelected="1" workbookViewId="0">
      <selection activeCell="J11" sqref="J11"/>
    </sheetView>
  </sheetViews>
  <sheetFormatPr defaultRowHeight="15" x14ac:dyDescent="0.25"/>
  <cols>
    <col min="1" max="5" width="15.7109375" customWidth="1"/>
    <col min="6" max="6" width="15.7109375" style="7" customWidth="1"/>
  </cols>
  <sheetData>
    <row r="1" spans="1:6" x14ac:dyDescent="0.25">
      <c r="A1" s="8" t="s">
        <v>32</v>
      </c>
      <c r="B1" s="8"/>
      <c r="C1" s="8"/>
      <c r="D1" s="8"/>
      <c r="E1" s="8"/>
      <c r="F1" s="8"/>
    </row>
    <row r="3" spans="1:6" x14ac:dyDescent="0.25">
      <c r="A3" s="9" t="s">
        <v>33</v>
      </c>
      <c r="B3" s="9"/>
      <c r="C3" s="9"/>
      <c r="D3" s="9"/>
      <c r="E3" s="9"/>
      <c r="F3" s="9"/>
    </row>
    <row r="5" spans="1:6" x14ac:dyDescent="0.25">
      <c r="A5" s="1" t="s">
        <v>34</v>
      </c>
      <c r="B5" s="1" t="s">
        <v>9</v>
      </c>
      <c r="C5" s="1" t="s">
        <v>35</v>
      </c>
      <c r="D5" s="1" t="s">
        <v>36</v>
      </c>
      <c r="E5" s="1" t="s">
        <v>37</v>
      </c>
      <c r="F5" s="6" t="s">
        <v>14</v>
      </c>
    </row>
    <row r="6" spans="1:6" x14ac:dyDescent="0.25">
      <c r="A6" s="2" t="s">
        <v>38</v>
      </c>
      <c r="B6" s="4">
        <v>35</v>
      </c>
      <c r="C6" s="4">
        <v>7</v>
      </c>
      <c r="D6" s="4">
        <v>28</v>
      </c>
      <c r="E6" s="4">
        <v>188</v>
      </c>
      <c r="F6" s="10"/>
    </row>
    <row r="7" spans="1:6" x14ac:dyDescent="0.25">
      <c r="A7" s="2" t="s">
        <v>39</v>
      </c>
      <c r="B7" s="4">
        <v>32</v>
      </c>
      <c r="C7" s="4">
        <v>6</v>
      </c>
      <c r="D7" s="4">
        <v>26</v>
      </c>
      <c r="E7" s="4">
        <v>160</v>
      </c>
      <c r="F7" s="10"/>
    </row>
    <row r="8" spans="1:6" x14ac:dyDescent="0.25">
      <c r="A8" s="2" t="s">
        <v>40</v>
      </c>
      <c r="B8" s="4">
        <v>29</v>
      </c>
      <c r="C8" s="4">
        <v>5</v>
      </c>
      <c r="D8" s="4">
        <v>24</v>
      </c>
      <c r="E8" s="4">
        <v>134</v>
      </c>
      <c r="F8" s="10"/>
    </row>
    <row r="9" spans="1:6" x14ac:dyDescent="0.25">
      <c r="A9" s="2" t="s">
        <v>41</v>
      </c>
      <c r="B9" s="4">
        <v>26</v>
      </c>
      <c r="C9" s="4">
        <v>4</v>
      </c>
      <c r="D9" s="4">
        <v>22</v>
      </c>
      <c r="E9" s="4">
        <v>110</v>
      </c>
      <c r="F9" s="10"/>
    </row>
    <row r="10" spans="1:6" x14ac:dyDescent="0.25">
      <c r="A10" s="2" t="s">
        <v>42</v>
      </c>
      <c r="B10" s="4">
        <v>23</v>
      </c>
      <c r="C10" s="4">
        <v>3</v>
      </c>
      <c r="D10" s="4">
        <v>20</v>
      </c>
      <c r="E10" s="4">
        <v>88</v>
      </c>
      <c r="F10" s="10"/>
    </row>
    <row r="11" spans="1:6" x14ac:dyDescent="0.25">
      <c r="A11" s="2" t="s">
        <v>43</v>
      </c>
      <c r="B11" s="4">
        <v>20</v>
      </c>
      <c r="C11" s="4">
        <v>2</v>
      </c>
      <c r="D11" s="4">
        <v>18</v>
      </c>
      <c r="E11" s="4">
        <v>68</v>
      </c>
      <c r="F11" s="10"/>
    </row>
  </sheetData>
  <mergeCells count="2">
    <mergeCell ref="A1:F1"/>
    <mergeCell ref="A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Performance Dashboard</vt:lpstr>
      <vt:lpstr>Channel Performance</vt:lpstr>
      <vt:lpstr>Customer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BRUNDA GOWRAV</cp:lastModifiedBy>
  <dcterms:created xsi:type="dcterms:W3CDTF">2025-07-09T07:52:54Z</dcterms:created>
  <dcterms:modified xsi:type="dcterms:W3CDTF">2025-07-15T10:26:58Z</dcterms:modified>
</cp:coreProperties>
</file>