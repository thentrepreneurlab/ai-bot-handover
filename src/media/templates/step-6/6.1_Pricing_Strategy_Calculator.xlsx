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0" documentId="8_{995FE5FB-2552-47C7-986B-028244A6C7C9}" xr6:coauthVersionLast="47" xr6:coauthVersionMax="47" xr10:uidLastSave="{00000000-0000-0000-0000-000000000000}"/>
  <bookViews>
    <workbookView xWindow="28680" yWindow="1830" windowWidth="29040" windowHeight="15840" activeTab="2" xr2:uid="{00000000-000D-0000-FFFF-FFFF00000000}"/>
  </bookViews>
  <sheets>
    <sheet name="Pricing Calculator" sheetId="1" r:id="rId1"/>
    <sheet name="Pricing Models" sheetId="2" r:id="rId2"/>
    <sheet name="Competitive Analysi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0" i="1"/>
  <c r="B11" i="1"/>
  <c r="D5" i="2"/>
  <c r="D4" i="2"/>
  <c r="B9" i="1"/>
  <c r="B24" i="1" s="1"/>
</calcChain>
</file>

<file path=xl/sharedStrings.xml><?xml version="1.0" encoding="utf-8"?>
<sst xmlns="http://schemas.openxmlformats.org/spreadsheetml/2006/main" count="110" uniqueCount="107">
  <si>
    <t>Pricing Strategy Calculator</t>
  </si>
  <si>
    <t>COST ANALYSIS</t>
  </si>
  <si>
    <t>Cost Item</t>
  </si>
  <si>
    <t>Amount</t>
  </si>
  <si>
    <t>Notes</t>
  </si>
  <si>
    <t>Direct Costs</t>
  </si>
  <si>
    <t>Materials/Supplies per unit</t>
  </si>
  <si>
    <t>Raw materials cost</t>
  </si>
  <si>
    <t>Labor cost per hour</t>
  </si>
  <si>
    <t>Hourly wage rate</t>
  </si>
  <si>
    <t>Hours per unit/project</t>
  </si>
  <si>
    <t>Time required per unit</t>
  </si>
  <si>
    <t>Direct labor cost per unit</t>
  </si>
  <si>
    <t>Labor rate × Hours</t>
  </si>
  <si>
    <t>Other direct costs</t>
  </si>
  <si>
    <t>Miscellaneous direct expenses</t>
  </si>
  <si>
    <t>Total Direct Costs</t>
  </si>
  <si>
    <t>Sum of all direct costs</t>
  </si>
  <si>
    <t>Overhead Costs</t>
  </si>
  <si>
    <t>Rent/Utilities</t>
  </si>
  <si>
    <t>Monthly facility costs</t>
  </si>
  <si>
    <t>Insurance</t>
  </si>
  <si>
    <t>Business insurance</t>
  </si>
  <si>
    <t>Marketing</t>
  </si>
  <si>
    <t>Advertising and promotion</t>
  </si>
  <si>
    <t>Administrative</t>
  </si>
  <si>
    <t>Office and admin expenses</t>
  </si>
  <si>
    <t>Equipment/Depreciation</t>
  </si>
  <si>
    <t>Equipment costs and depreciation</t>
  </si>
  <si>
    <t>Monthly overhead allocation</t>
  </si>
  <si>
    <t>Allocated to production</t>
  </si>
  <si>
    <t>Total Monthly Overhead</t>
  </si>
  <si>
    <t>Sum of all overhead costs</t>
  </si>
  <si>
    <t>Overhead per unit</t>
  </si>
  <si>
    <t>Overhead allocated per unit</t>
  </si>
  <si>
    <t>Overhead allocation rate</t>
  </si>
  <si>
    <t>Monthly allocation / Total overhead</t>
  </si>
  <si>
    <t>Total Cost per Unit</t>
  </si>
  <si>
    <t>Direct costs + Overhead per unit</t>
  </si>
  <si>
    <t>Final Unit Cost</t>
  </si>
  <si>
    <t>Final cost for pricing calculations</t>
  </si>
  <si>
    <t>Pricing Model Comparison</t>
  </si>
  <si>
    <t>Pricing Model</t>
  </si>
  <si>
    <t>Base Price</t>
  </si>
  <si>
    <t>Margin %</t>
  </si>
  <si>
    <t>Final Price</t>
  </si>
  <si>
    <t>Market Position</t>
  </si>
  <si>
    <t>Pros</t>
  </si>
  <si>
    <t>Cons</t>
  </si>
  <si>
    <t>Cost-Plus (50% margin)</t>
  </si>
  <si>
    <t>Value</t>
  </si>
  <si>
    <t>Simple, ensures profit</t>
  </si>
  <si>
    <t>Ignores market value</t>
  </si>
  <si>
    <t>Cost-Plus (100% margin)</t>
  </si>
  <si>
    <t>Premium</t>
  </si>
  <si>
    <t>High margins</t>
  </si>
  <si>
    <t>May price out customers</t>
  </si>
  <si>
    <t>Competitive Pricing</t>
  </si>
  <si>
    <t>Competitive</t>
  </si>
  <si>
    <t>Market aligned</t>
  </si>
  <si>
    <t>May not cover costs</t>
  </si>
  <si>
    <t>Value-Based Pricing</t>
  </si>
  <si>
    <t>Captures value created</t>
  </si>
  <si>
    <t>Requires value proof</t>
  </si>
  <si>
    <t>Penetration Pricing</t>
  </si>
  <si>
    <t>Low-cost</t>
  </si>
  <si>
    <t>Fast market entry</t>
  </si>
  <si>
    <t>Low margins initially</t>
  </si>
  <si>
    <t>Premium Pricing</t>
  </si>
  <si>
    <t>Luxury</t>
  </si>
  <si>
    <t>High margins, exclusivity</t>
  </si>
  <si>
    <t>Limited market size</t>
  </si>
  <si>
    <t>Competitive Pricing Analysis</t>
  </si>
  <si>
    <t>Competitor</t>
  </si>
  <si>
    <t>Price Range</t>
  </si>
  <si>
    <t>Key Features</t>
  </si>
  <si>
    <t>Strengths</t>
  </si>
  <si>
    <t>Weaknesses</t>
  </si>
  <si>
    <t>Competitor A</t>
  </si>
  <si>
    <t>$400-600</t>
  </si>
  <si>
    <t>Basic service, good quality</t>
  </si>
  <si>
    <t>Mid-market</t>
  </si>
  <si>
    <t>Established brand</t>
  </si>
  <si>
    <t>Limited features</t>
  </si>
  <si>
    <t>Competitor B</t>
  </si>
  <si>
    <t>$800-1200</t>
  </si>
  <si>
    <t>Premium features, comprehensive</t>
  </si>
  <si>
    <t>High-end</t>
  </si>
  <si>
    <t>Comprehensive solution</t>
  </si>
  <si>
    <t>High cost</t>
  </si>
  <si>
    <t>Competitor C</t>
  </si>
  <si>
    <t>$200-400</t>
  </si>
  <si>
    <t>Basic features, self-service</t>
  </si>
  <si>
    <t>Budget</t>
  </si>
  <si>
    <t>Low cost</t>
  </si>
  <si>
    <t>Limited support</t>
  </si>
  <si>
    <t>Your Business</t>
  </si>
  <si>
    <t>$500-750</t>
  </si>
  <si>
    <t>Custom solution, personalized</t>
  </si>
  <si>
    <t>Premium value</t>
  </si>
  <si>
    <t>Personalized approach</t>
  </si>
  <si>
    <t>New to market</t>
  </si>
  <si>
    <t>Market Average</t>
  </si>
  <si>
    <t>$450-650</t>
  </si>
  <si>
    <t>Standard features</t>
  </si>
  <si>
    <t>Proven solutions</t>
  </si>
  <si>
    <t>Generic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</si>
</sst>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366092"/>
      <name val="Calibri"/>
    </font>
    <font>
      <b/>
      <sz val="11"/>
      <name val="Calibri"/>
    </font>
    <font>
      <b/>
      <sz val="11"/>
      <color rgb="FF36609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0" borderId="0" xfId="0" applyFont="1"/>
    <xf numFmtId="0" fontId="5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164" fontId="0" fillId="0" borderId="0" xfId="0" applyNumberFormat="1"/>
    <xf numFmtId="164" fontId="3" fillId="3" borderId="0" xfId="0" applyNumberFormat="1" applyFont="1" applyFill="1"/>
    <xf numFmtId="164" fontId="3" fillId="0" borderId="0" xfId="0" applyNumberFormat="1" applyFont="1"/>
    <xf numFmtId="164" fontId="5" fillId="2" borderId="0" xfId="0" applyNumberFormat="1" applyFont="1" applyFill="1"/>
    <xf numFmtId="10" fontId="0" fillId="0" borderId="0" xfId="0" applyNumberFormat="1"/>
    <xf numFmtId="10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I6" sqref="I6"/>
    </sheetView>
  </sheetViews>
  <sheetFormatPr defaultRowHeight="15" x14ac:dyDescent="0.25"/>
  <cols>
    <col min="1" max="1" width="29" customWidth="1"/>
    <col min="2" max="2" width="15" style="8" customWidth="1"/>
    <col min="3" max="3" width="37" customWidth="1"/>
    <col min="4" max="5" width="2" customWidth="1"/>
  </cols>
  <sheetData>
    <row r="1" spans="1:5" ht="21" x14ac:dyDescent="0.35">
      <c r="A1" s="6" t="s">
        <v>0</v>
      </c>
      <c r="B1" s="7"/>
      <c r="C1" s="7"/>
      <c r="D1" s="7"/>
      <c r="E1" s="7"/>
    </row>
    <row r="3" spans="1:5" ht="18.75" x14ac:dyDescent="0.3">
      <c r="A3" s="1" t="s">
        <v>1</v>
      </c>
    </row>
    <row r="4" spans="1:5" x14ac:dyDescent="0.25">
      <c r="A4" s="2" t="s">
        <v>2</v>
      </c>
      <c r="B4" s="9" t="s">
        <v>3</v>
      </c>
      <c r="C4" s="2" t="s">
        <v>4</v>
      </c>
    </row>
    <row r="5" spans="1:5" x14ac:dyDescent="0.25">
      <c r="A5" s="3" t="s">
        <v>5</v>
      </c>
    </row>
    <row r="6" spans="1:5" x14ac:dyDescent="0.25">
      <c r="A6" t="s">
        <v>6</v>
      </c>
      <c r="B6" s="8">
        <v>25</v>
      </c>
      <c r="C6" t="s">
        <v>7</v>
      </c>
    </row>
    <row r="7" spans="1:5" x14ac:dyDescent="0.25">
      <c r="A7" t="s">
        <v>8</v>
      </c>
      <c r="B7" s="8">
        <v>50</v>
      </c>
      <c r="C7" t="s">
        <v>9</v>
      </c>
    </row>
    <row r="8" spans="1:5" x14ac:dyDescent="0.25">
      <c r="A8" t="s">
        <v>10</v>
      </c>
      <c r="B8" s="8">
        <v>8</v>
      </c>
      <c r="C8" t="s">
        <v>11</v>
      </c>
    </row>
    <row r="9" spans="1:5" x14ac:dyDescent="0.25">
      <c r="A9" t="s">
        <v>12</v>
      </c>
      <c r="B9" s="8">
        <f>B7*B8</f>
        <v>400</v>
      </c>
      <c r="C9" t="s">
        <v>13</v>
      </c>
    </row>
    <row r="10" spans="1:5" x14ac:dyDescent="0.25">
      <c r="A10" t="s">
        <v>14</v>
      </c>
      <c r="B10" s="8">
        <v>15</v>
      </c>
      <c r="C10" t="s">
        <v>15</v>
      </c>
    </row>
    <row r="11" spans="1:5" x14ac:dyDescent="0.25">
      <c r="A11" s="4" t="s">
        <v>16</v>
      </c>
      <c r="B11" s="10">
        <f>B6+B9+B10</f>
        <v>440</v>
      </c>
      <c r="C11" t="s">
        <v>17</v>
      </c>
    </row>
    <row r="13" spans="1:5" x14ac:dyDescent="0.25">
      <c r="A13" s="3" t="s">
        <v>18</v>
      </c>
    </row>
    <row r="14" spans="1:5" x14ac:dyDescent="0.25">
      <c r="A14" t="s">
        <v>19</v>
      </c>
      <c r="B14" s="8">
        <v>2000</v>
      </c>
      <c r="C14" t="s">
        <v>20</v>
      </c>
    </row>
    <row r="15" spans="1:5" x14ac:dyDescent="0.25">
      <c r="A15" t="s">
        <v>21</v>
      </c>
      <c r="B15" s="8">
        <v>300</v>
      </c>
      <c r="C15" t="s">
        <v>22</v>
      </c>
    </row>
    <row r="16" spans="1:5" x14ac:dyDescent="0.25">
      <c r="A16" t="s">
        <v>23</v>
      </c>
      <c r="B16" s="8">
        <v>500</v>
      </c>
      <c r="C16" t="s">
        <v>24</v>
      </c>
    </row>
    <row r="17" spans="1:3" x14ac:dyDescent="0.25">
      <c r="A17" t="s">
        <v>25</v>
      </c>
      <c r="B17" s="8">
        <v>800</v>
      </c>
      <c r="C17" t="s">
        <v>26</v>
      </c>
    </row>
    <row r="18" spans="1:3" x14ac:dyDescent="0.25">
      <c r="A18" t="s">
        <v>27</v>
      </c>
      <c r="B18" s="8">
        <v>1500</v>
      </c>
      <c r="C18" t="s">
        <v>28</v>
      </c>
    </row>
    <row r="19" spans="1:3" x14ac:dyDescent="0.25">
      <c r="A19" t="s">
        <v>29</v>
      </c>
      <c r="B19" s="8">
        <v>1200</v>
      </c>
      <c r="C19" t="s">
        <v>30</v>
      </c>
    </row>
    <row r="20" spans="1:3" x14ac:dyDescent="0.25">
      <c r="A20" s="4" t="s">
        <v>31</v>
      </c>
      <c r="B20" s="10">
        <f>SUM(B14:B18)</f>
        <v>5100</v>
      </c>
      <c r="C20" t="s">
        <v>32</v>
      </c>
    </row>
    <row r="21" spans="1:3" x14ac:dyDescent="0.25">
      <c r="A21" t="s">
        <v>33</v>
      </c>
      <c r="B21" s="8">
        <v>20</v>
      </c>
      <c r="C21" t="s">
        <v>34</v>
      </c>
    </row>
    <row r="22" spans="1:3" x14ac:dyDescent="0.25">
      <c r="A22" t="s">
        <v>35</v>
      </c>
      <c r="B22" s="8">
        <f>B19/B20</f>
        <v>0.23529411764705882</v>
      </c>
      <c r="C22" t="s">
        <v>36</v>
      </c>
    </row>
    <row r="23" spans="1:3" x14ac:dyDescent="0.25">
      <c r="A23" s="4" t="s">
        <v>37</v>
      </c>
      <c r="B23" s="10">
        <f>B11+B21</f>
        <v>460</v>
      </c>
      <c r="C23" t="s">
        <v>38</v>
      </c>
    </row>
    <row r="24" spans="1:3" x14ac:dyDescent="0.25">
      <c r="A24" s="5" t="s">
        <v>39</v>
      </c>
      <c r="B24" s="11">
        <f>B23</f>
        <v>460</v>
      </c>
      <c r="C24" t="s">
        <v>40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D30" sqref="D30"/>
    </sheetView>
  </sheetViews>
  <sheetFormatPr defaultRowHeight="15" x14ac:dyDescent="0.25"/>
  <cols>
    <col min="1" max="1" width="26" customWidth="1"/>
    <col min="2" max="2" width="27" style="8" customWidth="1"/>
    <col min="3" max="3" width="10" style="12" customWidth="1"/>
    <col min="4" max="4" width="13" style="8" customWidth="1"/>
    <col min="5" max="5" width="17" customWidth="1"/>
    <col min="6" max="6" width="27" customWidth="1"/>
    <col min="7" max="7" width="25" customWidth="1"/>
  </cols>
  <sheetData>
    <row r="1" spans="1:7" ht="21" x14ac:dyDescent="0.35">
      <c r="A1" s="6" t="s">
        <v>41</v>
      </c>
      <c r="B1" s="7"/>
      <c r="C1" s="7"/>
      <c r="D1" s="7"/>
      <c r="E1" s="7"/>
      <c r="F1" s="7"/>
      <c r="G1" s="7"/>
    </row>
    <row r="3" spans="1:7" x14ac:dyDescent="0.25">
      <c r="A3" s="2" t="s">
        <v>42</v>
      </c>
      <c r="B3" s="9" t="s">
        <v>43</v>
      </c>
      <c r="C3" s="13" t="s">
        <v>44</v>
      </c>
      <c r="D3" s="9" t="s">
        <v>45</v>
      </c>
      <c r="E3" s="2" t="s">
        <v>46</v>
      </c>
      <c r="F3" s="2" t="s">
        <v>47</v>
      </c>
      <c r="G3" s="2" t="s">
        <v>48</v>
      </c>
    </row>
    <row r="4" spans="1:7" x14ac:dyDescent="0.25">
      <c r="A4" t="s">
        <v>49</v>
      </c>
      <c r="B4" s="8">
        <v>0</v>
      </c>
      <c r="C4" s="12">
        <v>0.5</v>
      </c>
      <c r="D4" s="8">
        <f>B4*(1+C4)</f>
        <v>0</v>
      </c>
      <c r="E4" t="s">
        <v>50</v>
      </c>
      <c r="F4" t="s">
        <v>51</v>
      </c>
      <c r="G4" t="s">
        <v>52</v>
      </c>
    </row>
    <row r="5" spans="1:7" x14ac:dyDescent="0.25">
      <c r="A5" t="s">
        <v>53</v>
      </c>
      <c r="B5" s="8">
        <v>0</v>
      </c>
      <c r="C5" s="12">
        <v>1</v>
      </c>
      <c r="D5" s="8">
        <f>B5*(1+C5)</f>
        <v>0</v>
      </c>
      <c r="E5" t="s">
        <v>54</v>
      </c>
      <c r="F5" t="s">
        <v>55</v>
      </c>
      <c r="G5" t="s">
        <v>56</v>
      </c>
    </row>
    <row r="6" spans="1:7" x14ac:dyDescent="0.25">
      <c r="A6" t="s">
        <v>57</v>
      </c>
      <c r="B6" s="8">
        <v>450</v>
      </c>
      <c r="D6" s="8">
        <v>450</v>
      </c>
      <c r="E6" t="s">
        <v>58</v>
      </c>
      <c r="F6" t="s">
        <v>59</v>
      </c>
      <c r="G6" t="s">
        <v>60</v>
      </c>
    </row>
    <row r="7" spans="1:7" x14ac:dyDescent="0.25">
      <c r="A7" t="s">
        <v>61</v>
      </c>
      <c r="B7" s="8">
        <v>750</v>
      </c>
      <c r="D7" s="8">
        <v>750</v>
      </c>
      <c r="E7" t="s">
        <v>54</v>
      </c>
      <c r="F7" t="s">
        <v>62</v>
      </c>
      <c r="G7" t="s">
        <v>63</v>
      </c>
    </row>
    <row r="8" spans="1:7" x14ac:dyDescent="0.25">
      <c r="A8" t="s">
        <v>64</v>
      </c>
      <c r="B8" s="8">
        <v>350</v>
      </c>
      <c r="D8" s="8">
        <v>350</v>
      </c>
      <c r="E8" t="s">
        <v>65</v>
      </c>
      <c r="F8" t="s">
        <v>66</v>
      </c>
      <c r="G8" t="s">
        <v>67</v>
      </c>
    </row>
    <row r="9" spans="1:7" x14ac:dyDescent="0.25">
      <c r="A9" t="s">
        <v>68</v>
      </c>
      <c r="B9" s="8">
        <v>950</v>
      </c>
      <c r="D9" s="8">
        <v>950</v>
      </c>
      <c r="E9" t="s">
        <v>69</v>
      </c>
      <c r="F9" t="s">
        <v>70</v>
      </c>
      <c r="G9" t="s">
        <v>71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C22" sqref="C22"/>
    </sheetView>
  </sheetViews>
  <sheetFormatPr defaultRowHeight="15" x14ac:dyDescent="0.25"/>
  <cols>
    <col min="1" max="1" width="30" customWidth="1"/>
    <col min="2" max="2" width="13" customWidth="1"/>
    <col min="3" max="3" width="33" customWidth="1"/>
    <col min="4" max="4" width="17" customWidth="1"/>
    <col min="5" max="5" width="24" customWidth="1"/>
    <col min="6" max="6" width="18" customWidth="1"/>
  </cols>
  <sheetData>
    <row r="1" spans="1:6" ht="21" x14ac:dyDescent="0.35">
      <c r="A1" s="6" t="s">
        <v>72</v>
      </c>
      <c r="B1" s="7"/>
      <c r="C1" s="7"/>
      <c r="D1" s="7"/>
      <c r="E1" s="7"/>
      <c r="F1" s="7"/>
    </row>
    <row r="3" spans="1:6" x14ac:dyDescent="0.25">
      <c r="A3" s="2" t="s">
        <v>73</v>
      </c>
      <c r="B3" s="2" t="s">
        <v>74</v>
      </c>
      <c r="C3" s="2" t="s">
        <v>75</v>
      </c>
      <c r="D3" s="2" t="s">
        <v>46</v>
      </c>
      <c r="E3" s="2" t="s">
        <v>76</v>
      </c>
      <c r="F3" s="2" t="s">
        <v>77</v>
      </c>
    </row>
    <row r="4" spans="1:6" x14ac:dyDescent="0.25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</row>
    <row r="5" spans="1:6" x14ac:dyDescent="0.25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</row>
    <row r="6" spans="1:6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</row>
    <row r="7" spans="1: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</row>
    <row r="8" spans="1:6" x14ac:dyDescent="0.25">
      <c r="A8" t="s">
        <v>102</v>
      </c>
      <c r="B8" t="s">
        <v>103</v>
      </c>
      <c r="C8" t="s">
        <v>104</v>
      </c>
      <c r="D8" t="s">
        <v>81</v>
      </c>
      <c r="E8" t="s">
        <v>105</v>
      </c>
      <c r="F8" t="s">
        <v>106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Calculator</vt:lpstr>
      <vt:lpstr>Pricing Models</vt:lpstr>
      <vt:lpstr>Competitive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2025-07-15T10:35:39Z</dcterms:created>
  <dcterms:modified xsi:type="dcterms:W3CDTF">2025-07-16T03:54:25Z</dcterms:modified>
</cp:coreProperties>
</file>