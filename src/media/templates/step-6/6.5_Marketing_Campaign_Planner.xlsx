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6 Templates/"/>
    </mc:Choice>
  </mc:AlternateContent>
  <xr:revisionPtr revIDLastSave="14" documentId="11_82BF93C6D43C913FB9F434E39967D232FE114162" xr6:coauthVersionLast="47" xr6:coauthVersionMax="47" xr10:uidLastSave="{7D54810B-3AFC-4C6D-AA72-1CD364011E71}"/>
  <bookViews>
    <workbookView xWindow="-120" yWindow="-120" windowWidth="29040" windowHeight="15840" activeTab="2" xr2:uid="{00000000-000D-0000-FFFF-FFFF00000000}"/>
  </bookViews>
  <sheets>
    <sheet name="Campaign Overview" sheetId="1" r:id="rId1"/>
    <sheet name="Content Calendar" sheetId="2" r:id="rId2"/>
    <sheet name="Budget Track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5" i="3"/>
  <c r="E4" i="3"/>
  <c r="D4" i="3"/>
  <c r="C10" i="3"/>
  <c r="B10" i="3"/>
  <c r="F9" i="3"/>
  <c r="G9" i="3" s="1"/>
  <c r="E9" i="3"/>
  <c r="D9" i="3"/>
  <c r="F8" i="3"/>
  <c r="G8" i="3" s="1"/>
  <c r="D8" i="3"/>
  <c r="F7" i="3"/>
  <c r="G7" i="3" s="1"/>
  <c r="D7" i="3"/>
  <c r="F6" i="3"/>
  <c r="G6" i="3" s="1"/>
  <c r="D6" i="3"/>
  <c r="F5" i="3"/>
  <c r="G5" i="3" s="1"/>
  <c r="D5" i="3"/>
  <c r="F4" i="3"/>
  <c r="D10" i="3"/>
  <c r="G4" i="3" l="1"/>
  <c r="G10" i="3" s="1"/>
  <c r="F10" i="3"/>
  <c r="E10" i="3"/>
</calcChain>
</file>

<file path=xl/sharedStrings.xml><?xml version="1.0" encoding="utf-8"?>
<sst xmlns="http://schemas.openxmlformats.org/spreadsheetml/2006/main" count="156" uniqueCount="97">
  <si>
    <t>Marketing Campaign Planning Overview</t>
  </si>
  <si>
    <t>Campaign Name</t>
  </si>
  <si>
    <t>Objective</t>
  </si>
  <si>
    <t>Target Audience</t>
  </si>
  <si>
    <t>Start Date</t>
  </si>
  <si>
    <t>End Date</t>
  </si>
  <si>
    <t>Budget</t>
  </si>
  <si>
    <t>Channels</t>
  </si>
  <si>
    <t>Status</t>
  </si>
  <si>
    <t>Expected ROI</t>
  </si>
  <si>
    <t>Launch Announcement</t>
  </si>
  <si>
    <t>Brand Awareness</t>
  </si>
  <si>
    <t>All prospects</t>
  </si>
  <si>
    <t>2/1/2025</t>
  </si>
  <si>
    <t>2/28/2025</t>
  </si>
  <si>
    <t>PR, Social, Email</t>
  </si>
  <si>
    <t>Planning</t>
  </si>
  <si>
    <t>Early Adopter Outreach</t>
  </si>
  <si>
    <t>Customer Acquisition</t>
  </si>
  <si>
    <t>Tech companies</t>
  </si>
  <si>
    <t>1/15/2025</t>
  </si>
  <si>
    <t>3/15/2025</t>
  </si>
  <si>
    <t>LinkedIn, Direct</t>
  </si>
  <si>
    <t>Active</t>
  </si>
  <si>
    <t>Content Marketing</t>
  </si>
  <si>
    <t>Lead Generation</t>
  </si>
  <si>
    <t>Industry professionals</t>
  </si>
  <si>
    <t>1/1/2025</t>
  </si>
  <si>
    <t>6/30/2025</t>
  </si>
  <si>
    <t>Blog, SEO, Social</t>
  </si>
  <si>
    <t>Google Ads Campaign</t>
  </si>
  <si>
    <t>High-intent searchers</t>
  </si>
  <si>
    <t>5/31/2025</t>
  </si>
  <si>
    <t>Google Ads</t>
  </si>
  <si>
    <t>Referral Program</t>
  </si>
  <si>
    <t>Existing customers</t>
  </si>
  <si>
    <t>2/15/2025</t>
  </si>
  <si>
    <t>12/31/2025</t>
  </si>
  <si>
    <t>Email, Direct</t>
  </si>
  <si>
    <t>Trade Show Presence</t>
  </si>
  <si>
    <t>Industry attendees</t>
  </si>
  <si>
    <t>3/17/2025</t>
  </si>
  <si>
    <t>Events, Networking</t>
  </si>
  <si>
    <t>Content Marketing Calendar</t>
  </si>
  <si>
    <t>Date</t>
  </si>
  <si>
    <t>Content Type</t>
  </si>
  <si>
    <t>Title/Topic</t>
  </si>
  <si>
    <t>Channel</t>
  </si>
  <si>
    <t>Assigned To</t>
  </si>
  <si>
    <t>Notes</t>
  </si>
  <si>
    <t>07/09/2025</t>
  </si>
  <si>
    <t>Blog Post</t>
  </si>
  <si>
    <t>Topic for blog post</t>
  </si>
  <si>
    <t>Website</t>
  </si>
  <si>
    <t>Planned</t>
  </si>
  <si>
    <t>Content Team</t>
  </si>
  <si>
    <t>Part of launch campaign</t>
  </si>
  <si>
    <t>07/12/2025</t>
  </si>
  <si>
    <t>Video Content</t>
  </si>
  <si>
    <t>Topic for video content</t>
  </si>
  <si>
    <t>YouTube</t>
  </si>
  <si>
    <t>All audiences</t>
  </si>
  <si>
    <t>07/15/2025</t>
  </si>
  <si>
    <t>Webinar</t>
  </si>
  <si>
    <t>Topic for webinar</t>
  </si>
  <si>
    <t>Online Event</t>
  </si>
  <si>
    <t>07/18/2025</t>
  </si>
  <si>
    <t>Email Newsletter</t>
  </si>
  <si>
    <t>Topic for email newsletter</t>
  </si>
  <si>
    <t>Email</t>
  </si>
  <si>
    <t>Subscribers</t>
  </si>
  <si>
    <t>07/21/2025</t>
  </si>
  <si>
    <t>Case Study</t>
  </si>
  <si>
    <t>Topic for case study</t>
  </si>
  <si>
    <t>Prospects</t>
  </si>
  <si>
    <t>07/24/2025</t>
  </si>
  <si>
    <t>Social Post</t>
  </si>
  <si>
    <t>Topic for social post</t>
  </si>
  <si>
    <t>LinkedIn</t>
  </si>
  <si>
    <t>B2B professionals</t>
  </si>
  <si>
    <t>07/27/2025</t>
  </si>
  <si>
    <t>Infographic</t>
  </si>
  <si>
    <t>Topic for infographic</t>
  </si>
  <si>
    <t>Social Media</t>
  </si>
  <si>
    <t>Visual learners</t>
  </si>
  <si>
    <t>07/30/2025</t>
  </si>
  <si>
    <t>08/02/2025</t>
  </si>
  <si>
    <t>08/05/2025</t>
  </si>
  <si>
    <t>Campaign Budget Tracking</t>
  </si>
  <si>
    <t>Campaign</t>
  </si>
  <si>
    <t>Total Budget</t>
  </si>
  <si>
    <t>Spent to Date</t>
  </si>
  <si>
    <t>Remaining</t>
  </si>
  <si>
    <t>Burn Rate</t>
  </si>
  <si>
    <t>Projected Total</t>
  </si>
  <si>
    <t>Variance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</si>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</sst>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M11" sqref="M11"/>
    </sheetView>
  </sheetViews>
  <sheetFormatPr defaultRowHeight="15" x14ac:dyDescent="0.25"/>
  <cols>
    <col min="1" max="1" width="20.7109375" customWidth="1"/>
    <col min="2" max="2" width="15.7109375" customWidth="1"/>
    <col min="3" max="3" width="20.7109375" customWidth="1"/>
    <col min="4" max="6" width="12.7109375" customWidth="1"/>
    <col min="7" max="7" width="20.7109375" customWidth="1"/>
    <col min="8" max="8" width="12.7109375" customWidth="1"/>
    <col min="9" max="9" width="15.7109375" customWidth="1"/>
  </cols>
  <sheetData>
    <row r="1" spans="1:9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30" x14ac:dyDescent="0.25">
      <c r="A4" s="2" t="s">
        <v>10</v>
      </c>
      <c r="B4" s="2" t="s">
        <v>11</v>
      </c>
      <c r="C4" s="2" t="s">
        <v>12</v>
      </c>
      <c r="D4" s="3" t="s">
        <v>13</v>
      </c>
      <c r="E4" s="3" t="s">
        <v>14</v>
      </c>
      <c r="F4" s="4">
        <v>5000</v>
      </c>
      <c r="G4" s="2" t="s">
        <v>15</v>
      </c>
      <c r="H4" s="2" t="s">
        <v>16</v>
      </c>
      <c r="I4" s="6">
        <v>2</v>
      </c>
    </row>
    <row r="5" spans="1:9" ht="30" x14ac:dyDescent="0.25">
      <c r="A5" s="2" t="s">
        <v>17</v>
      </c>
      <c r="B5" s="2" t="s">
        <v>18</v>
      </c>
      <c r="C5" s="2" t="s">
        <v>19</v>
      </c>
      <c r="D5" s="3" t="s">
        <v>20</v>
      </c>
      <c r="E5" s="3" t="s">
        <v>21</v>
      </c>
      <c r="F5" s="4">
        <v>3000</v>
      </c>
      <c r="G5" s="2" t="s">
        <v>22</v>
      </c>
      <c r="H5" s="2" t="s">
        <v>23</v>
      </c>
      <c r="I5" s="6">
        <v>3</v>
      </c>
    </row>
    <row r="6" spans="1:9" ht="30" x14ac:dyDescent="0.25">
      <c r="A6" s="2" t="s">
        <v>24</v>
      </c>
      <c r="B6" s="2" t="s">
        <v>25</v>
      </c>
      <c r="C6" s="2" t="s">
        <v>26</v>
      </c>
      <c r="D6" s="3" t="s">
        <v>27</v>
      </c>
      <c r="E6" s="3" t="s">
        <v>28</v>
      </c>
      <c r="F6" s="4">
        <v>8000</v>
      </c>
      <c r="G6" s="2" t="s">
        <v>29</v>
      </c>
      <c r="H6" s="2" t="s">
        <v>23</v>
      </c>
      <c r="I6" s="6">
        <v>4</v>
      </c>
    </row>
    <row r="7" spans="1:9" x14ac:dyDescent="0.25">
      <c r="A7" s="2" t="s">
        <v>30</v>
      </c>
      <c r="B7" s="2" t="s">
        <v>25</v>
      </c>
      <c r="C7" s="2" t="s">
        <v>31</v>
      </c>
      <c r="D7" s="3" t="s">
        <v>13</v>
      </c>
      <c r="E7" s="3" t="s">
        <v>32</v>
      </c>
      <c r="F7" s="4">
        <v>12000</v>
      </c>
      <c r="G7" s="2" t="s">
        <v>33</v>
      </c>
      <c r="H7" s="2" t="s">
        <v>16</v>
      </c>
      <c r="I7" s="6">
        <v>2.5</v>
      </c>
    </row>
    <row r="8" spans="1:9" ht="30" x14ac:dyDescent="0.25">
      <c r="A8" s="2" t="s">
        <v>34</v>
      </c>
      <c r="B8" s="2" t="s">
        <v>18</v>
      </c>
      <c r="C8" s="2" t="s">
        <v>35</v>
      </c>
      <c r="D8" s="3" t="s">
        <v>36</v>
      </c>
      <c r="E8" s="3" t="s">
        <v>37</v>
      </c>
      <c r="F8" s="4">
        <v>2000</v>
      </c>
      <c r="G8" s="2" t="s">
        <v>38</v>
      </c>
      <c r="H8" s="2" t="s">
        <v>16</v>
      </c>
      <c r="I8" s="6">
        <v>5</v>
      </c>
    </row>
    <row r="9" spans="1:9" ht="30" x14ac:dyDescent="0.25">
      <c r="A9" s="2" t="s">
        <v>39</v>
      </c>
      <c r="B9" s="2" t="s">
        <v>11</v>
      </c>
      <c r="C9" s="2" t="s">
        <v>40</v>
      </c>
      <c r="D9" s="3" t="s">
        <v>21</v>
      </c>
      <c r="E9" s="3" t="s">
        <v>41</v>
      </c>
      <c r="F9" s="4">
        <v>4000</v>
      </c>
      <c r="G9" s="2" t="s">
        <v>42</v>
      </c>
      <c r="H9" s="2" t="s">
        <v>16</v>
      </c>
      <c r="I9" s="6">
        <v>1.5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sqref="A1:H1"/>
    </sheetView>
  </sheetViews>
  <sheetFormatPr defaultRowHeight="15" x14ac:dyDescent="0.25"/>
  <cols>
    <col min="1" max="1" width="12.7109375" customWidth="1"/>
    <col min="2" max="2" width="15.7109375" customWidth="1"/>
    <col min="3" max="3" width="25.7109375" customWidth="1"/>
    <col min="4" max="8" width="15.7109375" customWidth="1"/>
  </cols>
  <sheetData>
    <row r="1" spans="1:8" x14ac:dyDescent="0.25">
      <c r="A1" s="5" t="s">
        <v>43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44</v>
      </c>
      <c r="B3" s="1" t="s">
        <v>45</v>
      </c>
      <c r="C3" s="1" t="s">
        <v>46</v>
      </c>
      <c r="D3" s="1" t="s">
        <v>47</v>
      </c>
      <c r="E3" s="1" t="s">
        <v>3</v>
      </c>
      <c r="F3" s="1" t="s">
        <v>8</v>
      </c>
      <c r="G3" s="1" t="s">
        <v>48</v>
      </c>
      <c r="H3" s="1" t="s">
        <v>49</v>
      </c>
    </row>
    <row r="4" spans="1:8" ht="30" x14ac:dyDescent="0.25">
      <c r="A4" s="3" t="s">
        <v>50</v>
      </c>
      <c r="B4" s="2" t="s">
        <v>51</v>
      </c>
      <c r="C4" s="2" t="s">
        <v>52</v>
      </c>
      <c r="D4" s="2" t="s">
        <v>53</v>
      </c>
      <c r="E4" s="2" t="s">
        <v>26</v>
      </c>
      <c r="F4" s="2" t="s">
        <v>54</v>
      </c>
      <c r="G4" s="2" t="s">
        <v>55</v>
      </c>
      <c r="H4" s="2" t="s">
        <v>56</v>
      </c>
    </row>
    <row r="5" spans="1:8" ht="30" x14ac:dyDescent="0.25">
      <c r="A5" s="3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54</v>
      </c>
      <c r="G5" s="2" t="s">
        <v>55</v>
      </c>
      <c r="H5" s="2" t="s">
        <v>56</v>
      </c>
    </row>
    <row r="6" spans="1:8" ht="30" x14ac:dyDescent="0.25">
      <c r="A6" s="3" t="s">
        <v>62</v>
      </c>
      <c r="B6" s="2" t="s">
        <v>63</v>
      </c>
      <c r="C6" s="2" t="s">
        <v>64</v>
      </c>
      <c r="D6" s="2" t="s">
        <v>65</v>
      </c>
      <c r="E6" s="2" t="s">
        <v>26</v>
      </c>
      <c r="F6" s="2" t="s">
        <v>54</v>
      </c>
      <c r="G6" s="2" t="s">
        <v>55</v>
      </c>
      <c r="H6" s="2" t="s">
        <v>56</v>
      </c>
    </row>
    <row r="7" spans="1:8" ht="30" x14ac:dyDescent="0.25">
      <c r="A7" s="3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54</v>
      </c>
      <c r="G7" s="2" t="s">
        <v>55</v>
      </c>
      <c r="H7" s="2" t="s">
        <v>56</v>
      </c>
    </row>
    <row r="8" spans="1:8" ht="30" x14ac:dyDescent="0.25">
      <c r="A8" s="3" t="s">
        <v>71</v>
      </c>
      <c r="B8" s="2" t="s">
        <v>72</v>
      </c>
      <c r="C8" s="2" t="s">
        <v>73</v>
      </c>
      <c r="D8" s="2" t="s">
        <v>53</v>
      </c>
      <c r="E8" s="2" t="s">
        <v>74</v>
      </c>
      <c r="F8" s="2" t="s">
        <v>54</v>
      </c>
      <c r="G8" s="2" t="s">
        <v>55</v>
      </c>
      <c r="H8" s="2" t="s">
        <v>56</v>
      </c>
    </row>
    <row r="9" spans="1:8" ht="30" x14ac:dyDescent="0.25">
      <c r="A9" s="3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54</v>
      </c>
      <c r="G9" s="2" t="s">
        <v>55</v>
      </c>
      <c r="H9" s="2" t="s">
        <v>56</v>
      </c>
    </row>
    <row r="10" spans="1:8" ht="30" x14ac:dyDescent="0.25">
      <c r="A10" s="3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54</v>
      </c>
      <c r="G10" s="2" t="s">
        <v>55</v>
      </c>
      <c r="H10" s="2" t="s">
        <v>56</v>
      </c>
    </row>
    <row r="11" spans="1:8" ht="30" x14ac:dyDescent="0.25">
      <c r="A11" s="3" t="s">
        <v>85</v>
      </c>
      <c r="B11" s="2" t="s">
        <v>51</v>
      </c>
      <c r="C11" s="2" t="s">
        <v>52</v>
      </c>
      <c r="D11" s="2" t="s">
        <v>53</v>
      </c>
      <c r="E11" s="2" t="s">
        <v>26</v>
      </c>
      <c r="F11" s="2" t="s">
        <v>54</v>
      </c>
      <c r="G11" s="2" t="s">
        <v>55</v>
      </c>
      <c r="H11" s="2" t="s">
        <v>56</v>
      </c>
    </row>
    <row r="12" spans="1:8" ht="30" x14ac:dyDescent="0.25">
      <c r="A12" s="3" t="s">
        <v>86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54</v>
      </c>
      <c r="G12" s="2" t="s">
        <v>55</v>
      </c>
      <c r="H12" s="2" t="s">
        <v>56</v>
      </c>
    </row>
    <row r="13" spans="1:8" ht="30" x14ac:dyDescent="0.25">
      <c r="A13" s="3" t="s">
        <v>87</v>
      </c>
      <c r="B13" s="2" t="s">
        <v>63</v>
      </c>
      <c r="C13" s="2" t="s">
        <v>64</v>
      </c>
      <c r="D13" s="2" t="s">
        <v>65</v>
      </c>
      <c r="E13" s="2" t="s">
        <v>26</v>
      </c>
      <c r="F13" s="2" t="s">
        <v>54</v>
      </c>
      <c r="G13" s="2" t="s">
        <v>55</v>
      </c>
      <c r="H13" s="2" t="s">
        <v>56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workbookViewId="0">
      <selection activeCell="D16" sqref="D16"/>
    </sheetView>
  </sheetViews>
  <sheetFormatPr defaultRowHeight="15" x14ac:dyDescent="0.25"/>
  <cols>
    <col min="1" max="1" width="20.7109375" customWidth="1"/>
    <col min="2" max="7" width="15.7109375" customWidth="1"/>
  </cols>
  <sheetData>
    <row r="1" spans="1:7" x14ac:dyDescent="0.25">
      <c r="A1" s="5" t="s">
        <v>88</v>
      </c>
      <c r="B1" s="5"/>
      <c r="C1" s="5"/>
      <c r="D1" s="5"/>
      <c r="E1" s="5"/>
      <c r="F1" s="5"/>
      <c r="G1" s="5"/>
    </row>
    <row r="3" spans="1:7" x14ac:dyDescent="0.25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 ht="30" x14ac:dyDescent="0.25">
      <c r="A4" s="2" t="s">
        <v>10</v>
      </c>
      <c r="B4" s="4">
        <v>5000</v>
      </c>
      <c r="C4" s="4">
        <v>1200</v>
      </c>
      <c r="D4" s="4">
        <f>B4-C4</f>
        <v>3800</v>
      </c>
      <c r="E4" s="4">
        <f>C4/30</f>
        <v>40</v>
      </c>
      <c r="F4" s="4">
        <f>E4*60</f>
        <v>2400</v>
      </c>
      <c r="G4" s="4">
        <f t="shared" ref="G4:G9" si="0">F4-B4</f>
        <v>-2600</v>
      </c>
    </row>
    <row r="5" spans="1:7" ht="30" x14ac:dyDescent="0.25">
      <c r="A5" s="2" t="s">
        <v>17</v>
      </c>
      <c r="B5" s="4">
        <v>3000</v>
      </c>
      <c r="C5" s="4">
        <v>800</v>
      </c>
      <c r="D5" s="4">
        <f t="shared" ref="D4:D9" si="1">B5-C5</f>
        <v>2200</v>
      </c>
      <c r="E5" s="4">
        <f>C5/45</f>
        <v>17.777777777777779</v>
      </c>
      <c r="F5" s="4">
        <f>E5*60</f>
        <v>1066.6666666666667</v>
      </c>
      <c r="G5" s="4">
        <f t="shared" si="0"/>
        <v>-1933.3333333333333</v>
      </c>
    </row>
    <row r="6" spans="1:7" x14ac:dyDescent="0.25">
      <c r="A6" s="2" t="s">
        <v>24</v>
      </c>
      <c r="B6" s="4">
        <v>8000</v>
      </c>
      <c r="C6" s="4">
        <v>2400</v>
      </c>
      <c r="D6" s="4">
        <f t="shared" si="1"/>
        <v>5600</v>
      </c>
      <c r="E6" s="4">
        <f>C6/30</f>
        <v>80</v>
      </c>
      <c r="F6" s="4">
        <f>E6*180</f>
        <v>14400</v>
      </c>
      <c r="G6" s="4">
        <f t="shared" si="0"/>
        <v>6400</v>
      </c>
    </row>
    <row r="7" spans="1:7" x14ac:dyDescent="0.25">
      <c r="A7" s="2" t="s">
        <v>30</v>
      </c>
      <c r="B7" s="4">
        <v>12000</v>
      </c>
      <c r="C7" s="4">
        <v>0</v>
      </c>
      <c r="D7" s="4">
        <f t="shared" si="1"/>
        <v>12000</v>
      </c>
      <c r="E7" s="4">
        <v>0</v>
      </c>
      <c r="F7" s="4">
        <f>E7*120</f>
        <v>0</v>
      </c>
      <c r="G7" s="4">
        <f t="shared" si="0"/>
        <v>-12000</v>
      </c>
    </row>
    <row r="8" spans="1:7" x14ac:dyDescent="0.25">
      <c r="A8" s="2" t="s">
        <v>34</v>
      </c>
      <c r="B8" s="4">
        <v>2000</v>
      </c>
      <c r="C8" s="4">
        <v>0</v>
      </c>
      <c r="D8" s="4">
        <f t="shared" si="1"/>
        <v>2000</v>
      </c>
      <c r="E8" s="4">
        <v>0</v>
      </c>
      <c r="F8" s="4">
        <f>E8*320</f>
        <v>0</v>
      </c>
      <c r="G8" s="4">
        <f t="shared" si="0"/>
        <v>-2000</v>
      </c>
    </row>
    <row r="9" spans="1:7" x14ac:dyDescent="0.25">
      <c r="A9" s="2" t="s">
        <v>39</v>
      </c>
      <c r="B9" s="4">
        <v>4000</v>
      </c>
      <c r="C9" s="4">
        <v>500</v>
      </c>
      <c r="D9" s="4">
        <f t="shared" si="1"/>
        <v>3500</v>
      </c>
      <c r="E9" s="4">
        <f>C9/15</f>
        <v>33.333333333333336</v>
      </c>
      <c r="F9" s="4">
        <f>E9*3</f>
        <v>100</v>
      </c>
      <c r="G9" s="4">
        <f t="shared" si="0"/>
        <v>-3900</v>
      </c>
    </row>
    <row r="10" spans="1:7" x14ac:dyDescent="0.25">
      <c r="A10" s="2" t="s">
        <v>96</v>
      </c>
      <c r="B10" s="4">
        <f>SUM(B4:B9)</f>
        <v>34000</v>
      </c>
      <c r="C10" s="4">
        <f>SUM(C4:C9)</f>
        <v>4900</v>
      </c>
      <c r="D10" s="4">
        <f>SUM(D4:D9)</f>
        <v>29100</v>
      </c>
      <c r="E10" s="4">
        <f>AVERAGE(E4:E9)</f>
        <v>28.518518518518519</v>
      </c>
      <c r="F10" s="4">
        <f>SUM(F4:F9)</f>
        <v>17966.666666666668</v>
      </c>
      <c r="G10" s="4">
        <f>SUM(G4:G9)</f>
        <v>-16033.333333333332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Overview</vt:lpstr>
      <vt:lpstr>Content Calendar</vt:lpstr>
      <vt:lpstr>Budget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2025-07-09T07:52:54Z</dcterms:created>
  <dcterms:modified xsi:type="dcterms:W3CDTF">2025-07-15T09:59:54Z</dcterms:modified>
</cp:coreProperties>
</file>