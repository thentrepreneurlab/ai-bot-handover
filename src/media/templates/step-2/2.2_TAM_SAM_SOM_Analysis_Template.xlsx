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5d220c0e92c484d/Desktop/"/>
    </mc:Choice>
  </mc:AlternateContent>
  <xr:revisionPtr revIDLastSave="0" documentId="8_{1B95240A-FA45-4FBC-98A0-14A206033AEC}" xr6:coauthVersionLast="47" xr6:coauthVersionMax="47" xr10:uidLastSave="{00000000-0000-0000-0000-000000000000}"/>
  <bookViews>
    <workbookView xWindow="28680" yWindow="1830" windowWidth="29040" windowHeight="15840" activeTab="2" xr2:uid="{00000000-000D-0000-FFFF-FFFF00000000}"/>
  </bookViews>
  <sheets>
    <sheet name="Market Analysis (2)" sheetId="3" r:id="rId1"/>
    <sheet name="Dashboard" sheetId="1" r:id="rId2"/>
    <sheet name="Market Analysi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3" l="1"/>
  <c r="D68" i="3"/>
  <c r="D67" i="3"/>
  <c r="D66" i="3"/>
  <c r="D65" i="3"/>
  <c r="D50" i="3"/>
  <c r="D49" i="3"/>
  <c r="D48" i="3"/>
  <c r="D47" i="3"/>
  <c r="D52" i="3" s="1"/>
  <c r="D46" i="3"/>
  <c r="B28" i="3"/>
  <c r="B40" i="3" s="1"/>
  <c r="B79" i="3" s="1"/>
  <c r="B18" i="3"/>
  <c r="B75" i="3" s="1"/>
  <c r="B18" i="2"/>
  <c r="B5" i="1" s="1"/>
  <c r="B28" i="2" l="1"/>
  <c r="B6" i="1" s="1"/>
  <c r="C79" i="3"/>
  <c r="B76" i="3"/>
  <c r="C76" i="3" s="1"/>
  <c r="B38" i="3"/>
  <c r="B77" i="3" s="1"/>
  <c r="C77" i="3" s="1"/>
  <c r="B39" i="3"/>
  <c r="B78" i="3" s="1"/>
  <c r="C78" i="3" s="1"/>
  <c r="B40" i="2" l="1"/>
  <c r="B9" i="1" s="1"/>
  <c r="B39" i="2"/>
  <c r="B38" i="2"/>
  <c r="B7" i="1" s="1"/>
  <c r="B8" i="1"/>
</calcChain>
</file>

<file path=xl/sharedStrings.xml><?xml version="1.0" encoding="utf-8"?>
<sst xmlns="http://schemas.openxmlformats.org/spreadsheetml/2006/main" count="401" uniqueCount="200">
  <si>
    <t>TAM/SAM/SOM Analysis Dashboard</t>
  </si>
  <si>
    <t>Key Market Metrics</t>
  </si>
  <si>
    <t>Metric</t>
  </si>
  <si>
    <t>Value</t>
  </si>
  <si>
    <t>Unit</t>
  </si>
  <si>
    <t>Confidence</t>
  </si>
  <si>
    <t>Notes</t>
  </si>
  <si>
    <t>TAM</t>
  </si>
  <si>
    <t>$B</t>
  </si>
  <si>
    <t>Medium</t>
  </si>
  <si>
    <t>Total Addressable Market</t>
  </si>
  <si>
    <t>SAM</t>
  </si>
  <si>
    <t>Serviceable Addressable Market</t>
  </si>
  <si>
    <t>SOM (Year 1)</t>
  </si>
  <si>
    <t>High</t>
  </si>
  <si>
    <t>Serviceable Obtainable Market</t>
  </si>
  <si>
    <t>SOM (Year 3)</t>
  </si>
  <si>
    <t>3-Year Target</t>
  </si>
  <si>
    <t>SOM (Year 5)</t>
  </si>
  <si>
    <t>Low</t>
  </si>
  <si>
    <t>5-Year Vision</t>
  </si>
  <si>
    <t>TAM/SAM/SOM Market Analysis</t>
  </si>
  <si>
    <t>Analysis Date: July 03, 2025</t>
  </si>
  <si>
    <t>MARKET DEFINITION</t>
  </si>
  <si>
    <t>Market Category:</t>
  </si>
  <si>
    <t>Product/Service:</t>
  </si>
  <si>
    <t>Target Geography:</t>
  </si>
  <si>
    <t>Time Period:</t>
  </si>
  <si>
    <t>TOTAL ADDRESSABLE MARKET (TAM)</t>
  </si>
  <si>
    <t>Source</t>
  </si>
  <si>
    <t>Total Market Size</t>
  </si>
  <si>
    <t>Global market size</t>
  </si>
  <si>
    <t>Market Growth Rate</t>
  </si>
  <si>
    <t>%</t>
  </si>
  <si>
    <t>Annual growth rate</t>
  </si>
  <si>
    <t>Number of Potential Users</t>
  </si>
  <si>
    <t>Million</t>
  </si>
  <si>
    <t>Total addressable users</t>
  </si>
  <si>
    <t>Average Revenue per User</t>
  </si>
  <si>
    <t>$</t>
  </si>
  <si>
    <t>ARPU calculation</t>
  </si>
  <si>
    <t>Market Penetration Rate</t>
  </si>
  <si>
    <t>Current penetration</t>
  </si>
  <si>
    <t>TAM Calculation:</t>
  </si>
  <si>
    <t>SERVICEABLE ADDRESSABLE MARKET (SAM)</t>
  </si>
  <si>
    <t>Geographic Constraints</t>
  </si>
  <si>
    <t>Geographic limitations</t>
  </si>
  <si>
    <t>Regulatory Constraints</t>
  </si>
  <si>
    <t>Regulatory barriers</t>
  </si>
  <si>
    <t>Technology Constraints</t>
  </si>
  <si>
    <t>Technology limitations</t>
  </si>
  <si>
    <t>Customer Segment Focus</t>
  </si>
  <si>
    <t>Target customer segments</t>
  </si>
  <si>
    <t>Distribution Channel Access</t>
  </si>
  <si>
    <t>Channel availability</t>
  </si>
  <si>
    <t>SAM Calculation:</t>
  </si>
  <si>
    <t>SERVICEABLE OBTAINABLE MARKET (SOM)</t>
  </si>
  <si>
    <t>Market Share Goal (Year 1)</t>
  </si>
  <si>
    <t>Realistic market share</t>
  </si>
  <si>
    <t>Market Share Goal (Year 3)</t>
  </si>
  <si>
    <t>3-year target</t>
  </si>
  <si>
    <t>Market Share Goal (Year 5)</t>
  </si>
  <si>
    <t>5-year target</t>
  </si>
  <si>
    <t>Competitive Advantage</t>
  </si>
  <si>
    <t>Score 1-10</t>
  </si>
  <si>
    <t>Competitive strength</t>
  </si>
  <si>
    <t>Resource Constraints</t>
  </si>
  <si>
    <t>Resource limitations</t>
  </si>
  <si>
    <t>SOM Year 1:</t>
  </si>
  <si>
    <t>SOM Year 3:</t>
  </si>
  <si>
    <t>SOM Year 5:</t>
  </si>
  <si>
    <t>MARKET VALIDATION &amp; ASSESSMENT</t>
  </si>
  <si>
    <t>Customer Validation</t>
  </si>
  <si>
    <t>Validation Metric</t>
  </si>
  <si>
    <t>Score (1-10)</t>
  </si>
  <si>
    <t>Weight</t>
  </si>
  <si>
    <t>Weighted Score</t>
  </si>
  <si>
    <t>Evidence/Source</t>
  </si>
  <si>
    <t>Action Required</t>
  </si>
  <si>
    <t>Customer Problem Validation</t>
  </si>
  <si>
    <t>20%</t>
  </si>
  <si>
    <t>Customer interviews</t>
  </si>
  <si>
    <t>Solution-Market Fit</t>
  </si>
  <si>
    <t>25%</t>
  </si>
  <si>
    <t>Product testing</t>
  </si>
  <si>
    <t>Willingness to Pay</t>
  </si>
  <si>
    <t>Pricing surveys</t>
  </si>
  <si>
    <t>Customer Acquisition Cost</t>
  </si>
  <si>
    <t>15%</t>
  </si>
  <si>
    <t>Marketing tests</t>
  </si>
  <si>
    <t>Customer Lifetime Value</t>
  </si>
  <si>
    <t>Retention analysis</t>
  </si>
  <si>
    <t>Total Validation Score:</t>
  </si>
  <si>
    <t>Competitive Analysis</t>
  </si>
  <si>
    <t>Competitor</t>
  </si>
  <si>
    <t>Market Share</t>
  </si>
  <si>
    <t>Revenue</t>
  </si>
  <si>
    <t>Strengths</t>
  </si>
  <si>
    <t>Weaknesses</t>
  </si>
  <si>
    <t>Threat Level</t>
  </si>
  <si>
    <t>Response Strategy</t>
  </si>
  <si>
    <t>Competitor 1</t>
  </si>
  <si>
    <t>High/Med/Low</t>
  </si>
  <si>
    <t>Competitor 2</t>
  </si>
  <si>
    <t>Competitor 3</t>
  </si>
  <si>
    <t>Indirect Competitors</t>
  </si>
  <si>
    <t>New Entrants Risk</t>
  </si>
  <si>
    <t>Risk Assessment</t>
  </si>
  <si>
    <t>Risk Factor</t>
  </si>
  <si>
    <t>Probability</t>
  </si>
  <si>
    <t>Impact</t>
  </si>
  <si>
    <t>Risk Score</t>
  </si>
  <si>
    <t>Mitigation Strategy</t>
  </si>
  <si>
    <t>Owner</t>
  </si>
  <si>
    <t>Status</t>
  </si>
  <si>
    <t>Market Size Overestimation</t>
  </si>
  <si>
    <t>1-5</t>
  </si>
  <si>
    <t>Conservative estimates</t>
  </si>
  <si>
    <t>Competitive Response</t>
  </si>
  <si>
    <t>Differentiation strategy</t>
  </si>
  <si>
    <t>Technology Risk</t>
  </si>
  <si>
    <t>Technical validation</t>
  </si>
  <si>
    <t>Regulatory Changes</t>
  </si>
  <si>
    <t>Compliance monitoring</t>
  </si>
  <si>
    <t>Economic Downturn</t>
  </si>
  <si>
    <t>Flexible business model</t>
  </si>
  <si>
    <t>MARKET SIZE SUMMARY</t>
  </si>
  <si>
    <t>Market Level</t>
  </si>
  <si>
    <t>% of TAM</t>
  </si>
  <si>
    <t>Key Assumptions</t>
  </si>
  <si>
    <t>Time to Achieve</t>
  </si>
  <si>
    <t>N/A</t>
  </si>
  <si>
    <t>Addressable constraints</t>
  </si>
  <si>
    <t>2-3 years</t>
  </si>
  <si>
    <t>SOM Year 1</t>
  </si>
  <si>
    <t>Market share goals</t>
  </si>
  <si>
    <t>1 year</t>
  </si>
  <si>
    <t>SOM Year 3</t>
  </si>
  <si>
    <t>Growth trajectory</t>
  </si>
  <si>
    <t>3 years</t>
  </si>
  <si>
    <t>SOM Year 5</t>
  </si>
  <si>
    <t>Long-term vision</t>
  </si>
  <si>
    <t>5 years</t>
  </si>
  <si>
    <t>STRATEGIC RECOMMENDATIONS</t>
  </si>
  <si>
    <t>Recommendation</t>
  </si>
  <si>
    <t>Priority</t>
  </si>
  <si>
    <t>Timeline</t>
  </si>
  <si>
    <t>Resources Needed</t>
  </si>
  <si>
    <t>Expected Impact</t>
  </si>
  <si>
    <t>Success Metrics</t>
  </si>
  <si>
    <t>Market Entry Strategy</t>
  </si>
  <si>
    <t>Q1-Q2</t>
  </si>
  <si>
    <t>Product Development Focus</t>
  </si>
  <si>
    <t>Q1-Q4</t>
  </si>
  <si>
    <t>Customer Acquisition Plan</t>
  </si>
  <si>
    <t>Q2-Q3</t>
  </si>
  <si>
    <t>Partnership Strategy</t>
  </si>
  <si>
    <t>Q2-Q4</t>
  </si>
  <si>
    <t>Competitive Positioning</t>
  </si>
  <si>
    <t>Q1</t>
  </si>
  <si>
    <t>Risk Mitigation Plan</t>
  </si>
  <si>
    <t>Ongoing</t>
  </si>
  <si>
    <t>IMMEDIATE ACTION ITEMS</t>
  </si>
  <si>
    <t>Action Item</t>
  </si>
  <si>
    <t>Due Date</t>
  </si>
  <si>
    <t>Dependencies</t>
  </si>
  <si>
    <t>Validate TAM assumptions</t>
  </si>
  <si>
    <t>Not Started</t>
  </si>
  <si>
    <t>Conduct customer interviews</t>
  </si>
  <si>
    <t>Analyze competitor pricing</t>
  </si>
  <si>
    <t>Develop MVP requirements</t>
  </si>
  <si>
    <t>Create go-to-market plan</t>
  </si>
  <si>
    <t>Secure initial funding</t>
  </si>
  <si>
    <t>Build core team</t>
  </si>
  <si>
    <t>Establish partnerships</t>
  </si>
  <si>
    <t>Data Quality Assessment</t>
  </si>
  <si>
    <t>High Confidence Data Sources:</t>
  </si>
  <si>
    <t>Medium Confidence Data Sources:</t>
  </si>
  <si>
    <t>Low Confidence Data Sources:</t>
  </si>
  <si>
    <t>Overall Data Quality Rating:</t>
  </si>
  <si>
    <t>High/Medium/Low</t>
  </si>
  <si>
    <t>Key Assumptions Made</t>
  </si>
  <si>
    <t>Assumption 1:</t>
  </si>
  <si>
    <t>Assumption 2:</t>
  </si>
  <si>
    <t>Assumption 3:</t>
  </si>
  <si>
    <t>Assumption 4:</t>
  </si>
  <si>
    <t>Assumption 5:</t>
  </si>
  <si>
    <t>Additional Validation Required</t>
  </si>
  <si>
    <t>Validation Need 1:</t>
  </si>
  <si>
    <t>Validation Need 2:</t>
  </si>
  <si>
    <t>Validation Need 3:</t>
  </si>
  <si>
    <t>Market Attractiveness Assessment</t>
  </si>
  <si>
    <t>☐ Highly Attractive (SOM &gt; $10M)</t>
  </si>
  <si>
    <t>☐ Moderately Attractive (SOM $1M-$10M)</t>
  </si>
  <si>
    <t>☐ Marginally Attractive (SOM $100K-$1M)</t>
  </si>
  <si>
    <t>☐ Not Attractive (SOM &lt; $100K)</t>
  </si>
  <si>
    <t>Final Recommendations</t>
  </si>
  <si>
    <t>Market Opportunity Assessment:</t>
  </si>
  <si>
    <t>Recommended Next Steps:</t>
  </si>
  <si>
    <t>Key Risks and Mitigation Strategies: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</si>
</sst>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8B4513"/>
        <bgColor rgb="FF8B4513"/>
      </patternFill>
    </fill>
    <fill>
      <patternFill patternType="solid">
        <fgColor rgb="FFF4E4BC"/>
        <bgColor rgb="FFF4E4BC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C5504B"/>
        <bgColor rgb="FFC5504B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/>
    <xf numFmtId="0" fontId="4" fillId="5" borderId="0" xfId="0" applyFont="1" applyFill="1"/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6" borderId="0" xfId="0" applyFill="1"/>
    <xf numFmtId="0" fontId="4" fillId="8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11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4" borderId="1" xfId="0" applyFill="1" applyBorder="1"/>
    <xf numFmtId="0" fontId="2" fillId="0" borderId="0" xfId="0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0" xfId="0" applyFill="1" applyAlignment="1">
      <alignment wrapText="1"/>
    </xf>
    <xf numFmtId="0" fontId="3" fillId="3" borderId="0" xfId="0" applyFont="1" applyFill="1" applyAlignment="1">
      <alignment vertical="center"/>
    </xf>
    <xf numFmtId="0" fontId="0" fillId="0" borderId="0" xfId="0" applyAlignment="1"/>
    <xf numFmtId="0" fontId="0" fillId="0" borderId="1" xfId="0" applyBorder="1" applyAlignment="1">
      <alignment wrapText="1"/>
    </xf>
    <xf numFmtId="0" fontId="0" fillId="0" borderId="1" xfId="0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F343-CF04-4643-AA30-369D5A514C3A}">
  <dimension ref="A1:G103"/>
  <sheetViews>
    <sheetView workbookViewId="0">
      <selection activeCell="J18" sqref="J18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20" customWidth="1"/>
    <col min="6" max="6" width="15" customWidth="1"/>
    <col min="7" max="7" width="25" customWidth="1"/>
  </cols>
  <sheetData>
    <row r="1" spans="1:7" ht="21" x14ac:dyDescent="0.25">
      <c r="A1" s="16" t="s">
        <v>21</v>
      </c>
      <c r="B1" s="17"/>
      <c r="C1" s="17"/>
      <c r="D1" s="17"/>
      <c r="E1" s="17"/>
      <c r="F1" s="17"/>
      <c r="G1" s="17"/>
    </row>
    <row r="2" spans="1:7" x14ac:dyDescent="0.25">
      <c r="A2" s="22" t="s">
        <v>22</v>
      </c>
      <c r="B2" s="17"/>
      <c r="C2" s="17"/>
      <c r="D2" s="17"/>
      <c r="E2" s="17"/>
      <c r="F2" s="17"/>
      <c r="G2" s="17"/>
    </row>
    <row r="4" spans="1:7" ht="18.75" x14ac:dyDescent="0.25">
      <c r="A4" s="20" t="s">
        <v>23</v>
      </c>
      <c r="B4" s="17"/>
      <c r="C4" s="17"/>
      <c r="D4" s="17"/>
      <c r="E4" s="17"/>
      <c r="F4" s="17"/>
      <c r="G4" s="17"/>
    </row>
    <row r="5" spans="1:7" ht="15.75" x14ac:dyDescent="0.25">
      <c r="A5" s="1" t="s">
        <v>24</v>
      </c>
      <c r="B5" s="21"/>
      <c r="C5" s="17"/>
      <c r="D5" s="17"/>
      <c r="E5" s="17"/>
      <c r="F5" s="17"/>
      <c r="G5" s="17"/>
    </row>
    <row r="6" spans="1:7" ht="15.75" x14ac:dyDescent="0.25">
      <c r="A6" s="1" t="s">
        <v>25</v>
      </c>
      <c r="B6" s="21"/>
      <c r="C6" s="17"/>
      <c r="D6" s="17"/>
      <c r="E6" s="17"/>
      <c r="F6" s="17"/>
      <c r="G6" s="17"/>
    </row>
    <row r="7" spans="1:7" ht="15.75" x14ac:dyDescent="0.25">
      <c r="A7" s="1" t="s">
        <v>26</v>
      </c>
      <c r="B7" s="21"/>
      <c r="C7" s="17"/>
      <c r="D7" s="17"/>
      <c r="E7" s="17"/>
      <c r="F7" s="17"/>
      <c r="G7" s="17"/>
    </row>
    <row r="8" spans="1:7" ht="15.75" x14ac:dyDescent="0.25">
      <c r="A8" s="1" t="s">
        <v>27</v>
      </c>
      <c r="B8" s="21"/>
      <c r="C8" s="17"/>
      <c r="D8" s="17"/>
      <c r="E8" s="17"/>
      <c r="F8" s="17"/>
      <c r="G8" s="17"/>
    </row>
    <row r="10" spans="1:7" ht="18.75" x14ac:dyDescent="0.25">
      <c r="A10" s="20" t="s">
        <v>28</v>
      </c>
      <c r="B10" s="17"/>
      <c r="C10" s="17"/>
      <c r="D10" s="17"/>
      <c r="E10" s="17"/>
      <c r="F10" s="17"/>
      <c r="G10" s="17"/>
    </row>
    <row r="11" spans="1:7" ht="15.75" x14ac:dyDescent="0.25">
      <c r="A11" s="3" t="s">
        <v>2</v>
      </c>
      <c r="B11" s="3" t="s">
        <v>3</v>
      </c>
      <c r="C11" s="3" t="s">
        <v>4</v>
      </c>
      <c r="D11" s="3" t="s">
        <v>29</v>
      </c>
      <c r="E11" s="3" t="s">
        <v>6</v>
      </c>
      <c r="F11" s="3" t="s">
        <v>5</v>
      </c>
      <c r="G11" s="3"/>
    </row>
    <row r="12" spans="1:7" x14ac:dyDescent="0.25">
      <c r="A12" s="4" t="s">
        <v>30</v>
      </c>
      <c r="B12" s="5"/>
      <c r="C12" s="6" t="s">
        <v>8</v>
      </c>
      <c r="D12" s="7"/>
      <c r="E12" s="7" t="s">
        <v>31</v>
      </c>
      <c r="F12" s="6" t="s">
        <v>14</v>
      </c>
      <c r="G12" s="6"/>
    </row>
    <row r="13" spans="1:7" x14ac:dyDescent="0.25">
      <c r="A13" s="4" t="s">
        <v>32</v>
      </c>
      <c r="B13" s="5"/>
      <c r="C13" s="6" t="s">
        <v>33</v>
      </c>
      <c r="D13" s="7"/>
      <c r="E13" s="7" t="s">
        <v>34</v>
      </c>
      <c r="F13" s="6" t="s">
        <v>9</v>
      </c>
      <c r="G13" s="6"/>
    </row>
    <row r="14" spans="1:7" x14ac:dyDescent="0.25">
      <c r="A14" s="4" t="s">
        <v>35</v>
      </c>
      <c r="B14" s="5"/>
      <c r="C14" s="6" t="s">
        <v>36</v>
      </c>
      <c r="D14" s="7"/>
      <c r="E14" s="7" t="s">
        <v>37</v>
      </c>
      <c r="F14" s="6" t="s">
        <v>9</v>
      </c>
      <c r="G14" s="6"/>
    </row>
    <row r="15" spans="1:7" x14ac:dyDescent="0.25">
      <c r="A15" s="4" t="s">
        <v>38</v>
      </c>
      <c r="B15" s="5"/>
      <c r="C15" s="6" t="s">
        <v>39</v>
      </c>
      <c r="D15" s="7"/>
      <c r="E15" s="7" t="s">
        <v>40</v>
      </c>
      <c r="F15" s="6" t="s">
        <v>9</v>
      </c>
      <c r="G15" s="6"/>
    </row>
    <row r="16" spans="1:7" x14ac:dyDescent="0.25">
      <c r="A16" s="4" t="s">
        <v>41</v>
      </c>
      <c r="B16" s="5"/>
      <c r="C16" s="6" t="s">
        <v>33</v>
      </c>
      <c r="D16" s="7"/>
      <c r="E16" s="7" t="s">
        <v>42</v>
      </c>
      <c r="F16" s="6" t="s">
        <v>19</v>
      </c>
      <c r="G16" s="6"/>
    </row>
    <row r="18" spans="1:7" ht="15.75" x14ac:dyDescent="0.25">
      <c r="A18" s="1" t="s">
        <v>43</v>
      </c>
      <c r="B18" s="8">
        <f>B12*B14</f>
        <v>0</v>
      </c>
      <c r="C18" t="s">
        <v>8</v>
      </c>
    </row>
    <row r="20" spans="1:7" ht="18.75" x14ac:dyDescent="0.25">
      <c r="A20" s="20" t="s">
        <v>44</v>
      </c>
      <c r="B20" s="17"/>
      <c r="C20" s="17"/>
      <c r="D20" s="17"/>
      <c r="E20" s="17"/>
      <c r="F20" s="17"/>
      <c r="G20" s="17"/>
    </row>
    <row r="21" spans="1:7" ht="15.75" x14ac:dyDescent="0.25">
      <c r="A21" s="3" t="s">
        <v>2</v>
      </c>
      <c r="B21" s="3" t="s">
        <v>3</v>
      </c>
      <c r="C21" s="3" t="s">
        <v>4</v>
      </c>
      <c r="D21" s="3" t="s">
        <v>29</v>
      </c>
      <c r="E21" s="3" t="s">
        <v>6</v>
      </c>
      <c r="F21" s="3" t="s">
        <v>5</v>
      </c>
      <c r="G21" s="3"/>
    </row>
    <row r="22" spans="1:7" x14ac:dyDescent="0.25">
      <c r="A22" s="4" t="s">
        <v>45</v>
      </c>
      <c r="B22" s="5"/>
      <c r="C22" s="6" t="s">
        <v>33</v>
      </c>
      <c r="D22" s="7"/>
      <c r="E22" s="7" t="s">
        <v>46</v>
      </c>
      <c r="F22" s="6" t="s">
        <v>14</v>
      </c>
      <c r="G22" s="6"/>
    </row>
    <row r="23" spans="1:7" x14ac:dyDescent="0.25">
      <c r="A23" s="4" t="s">
        <v>47</v>
      </c>
      <c r="B23" s="5"/>
      <c r="C23" s="6" t="s">
        <v>33</v>
      </c>
      <c r="D23" s="7"/>
      <c r="E23" s="7" t="s">
        <v>48</v>
      </c>
      <c r="F23" s="6" t="s">
        <v>9</v>
      </c>
      <c r="G23" s="6"/>
    </row>
    <row r="24" spans="1:7" x14ac:dyDescent="0.25">
      <c r="A24" s="4" t="s">
        <v>49</v>
      </c>
      <c r="B24" s="5"/>
      <c r="C24" s="6" t="s">
        <v>33</v>
      </c>
      <c r="D24" s="7"/>
      <c r="E24" s="7" t="s">
        <v>50</v>
      </c>
      <c r="F24" s="6" t="s">
        <v>9</v>
      </c>
      <c r="G24" s="6"/>
    </row>
    <row r="25" spans="1:7" x14ac:dyDescent="0.25">
      <c r="A25" s="4" t="s">
        <v>51</v>
      </c>
      <c r="B25" s="5"/>
      <c r="C25" s="6" t="s">
        <v>33</v>
      </c>
      <c r="D25" s="7"/>
      <c r="E25" s="7" t="s">
        <v>52</v>
      </c>
      <c r="F25" s="6" t="s">
        <v>14</v>
      </c>
      <c r="G25" s="6"/>
    </row>
    <row r="26" spans="1:7" x14ac:dyDescent="0.25">
      <c r="A26" s="4" t="s">
        <v>53</v>
      </c>
      <c r="B26" s="5"/>
      <c r="C26" s="6" t="s">
        <v>33</v>
      </c>
      <c r="D26" s="7"/>
      <c r="E26" s="7" t="s">
        <v>54</v>
      </c>
      <c r="F26" s="6" t="s">
        <v>9</v>
      </c>
      <c r="G26" s="6"/>
    </row>
    <row r="28" spans="1:7" ht="15.75" x14ac:dyDescent="0.25">
      <c r="A28" s="1" t="s">
        <v>55</v>
      </c>
      <c r="B28" s="8">
        <f>B18*B22*B23*B24*B25*B26/100^5</f>
        <v>0</v>
      </c>
      <c r="C28" t="s">
        <v>8</v>
      </c>
    </row>
    <row r="30" spans="1:7" ht="18.75" x14ac:dyDescent="0.25">
      <c r="A30" s="20" t="s">
        <v>56</v>
      </c>
      <c r="B30" s="17"/>
      <c r="C30" s="17"/>
      <c r="D30" s="17"/>
      <c r="E30" s="17"/>
      <c r="F30" s="17"/>
      <c r="G30" s="17"/>
    </row>
    <row r="31" spans="1:7" ht="15.75" x14ac:dyDescent="0.25">
      <c r="A31" s="3" t="s">
        <v>2</v>
      </c>
      <c r="B31" s="3" t="s">
        <v>3</v>
      </c>
      <c r="C31" s="3" t="s">
        <v>4</v>
      </c>
      <c r="D31" s="3" t="s">
        <v>29</v>
      </c>
      <c r="E31" s="3" t="s">
        <v>6</v>
      </c>
      <c r="F31" s="3" t="s">
        <v>5</v>
      </c>
      <c r="G31" s="3"/>
    </row>
    <row r="32" spans="1:7" x14ac:dyDescent="0.25">
      <c r="A32" s="4" t="s">
        <v>57</v>
      </c>
      <c r="B32" s="5"/>
      <c r="C32" s="6" t="s">
        <v>33</v>
      </c>
      <c r="D32" s="7"/>
      <c r="E32" s="7" t="s">
        <v>58</v>
      </c>
      <c r="F32" s="6" t="s">
        <v>14</v>
      </c>
      <c r="G32" s="6"/>
    </row>
    <row r="33" spans="1:7" x14ac:dyDescent="0.25">
      <c r="A33" s="4" t="s">
        <v>59</v>
      </c>
      <c r="B33" s="5"/>
      <c r="C33" s="6" t="s">
        <v>33</v>
      </c>
      <c r="D33" s="7"/>
      <c r="E33" s="7" t="s">
        <v>60</v>
      </c>
      <c r="F33" s="6" t="s">
        <v>9</v>
      </c>
      <c r="G33" s="6"/>
    </row>
    <row r="34" spans="1:7" x14ac:dyDescent="0.25">
      <c r="A34" s="4" t="s">
        <v>61</v>
      </c>
      <c r="B34" s="5"/>
      <c r="C34" s="6" t="s">
        <v>33</v>
      </c>
      <c r="D34" s="7"/>
      <c r="E34" s="7" t="s">
        <v>62</v>
      </c>
      <c r="F34" s="6" t="s">
        <v>19</v>
      </c>
      <c r="G34" s="6"/>
    </row>
    <row r="35" spans="1:7" x14ac:dyDescent="0.25">
      <c r="A35" s="4" t="s">
        <v>63</v>
      </c>
      <c r="B35" s="5"/>
      <c r="C35" s="6" t="s">
        <v>64</v>
      </c>
      <c r="D35" s="7"/>
      <c r="E35" s="7" t="s">
        <v>65</v>
      </c>
      <c r="F35" s="6" t="s">
        <v>9</v>
      </c>
      <c r="G35" s="6"/>
    </row>
    <row r="36" spans="1:7" x14ac:dyDescent="0.25">
      <c r="A36" s="4" t="s">
        <v>66</v>
      </c>
      <c r="B36" s="5"/>
      <c r="C36" s="6" t="s">
        <v>33</v>
      </c>
      <c r="D36" s="7"/>
      <c r="E36" s="7" t="s">
        <v>67</v>
      </c>
      <c r="F36" s="6" t="s">
        <v>14</v>
      </c>
      <c r="G36" s="6"/>
    </row>
    <row r="38" spans="1:7" ht="15.75" x14ac:dyDescent="0.25">
      <c r="A38" s="1" t="s">
        <v>68</v>
      </c>
      <c r="B38" s="8">
        <f>B28*B32/100</f>
        <v>0</v>
      </c>
      <c r="C38" t="s">
        <v>8</v>
      </c>
    </row>
    <row r="39" spans="1:7" ht="15.75" x14ac:dyDescent="0.25">
      <c r="A39" s="1" t="s">
        <v>69</v>
      </c>
      <c r="B39" s="8">
        <f>B28*B33/100</f>
        <v>0</v>
      </c>
      <c r="C39" t="s">
        <v>8</v>
      </c>
    </row>
    <row r="40" spans="1:7" ht="15.75" x14ac:dyDescent="0.25">
      <c r="A40" s="1" t="s">
        <v>70</v>
      </c>
      <c r="B40" s="8">
        <f>B28*B34/100</f>
        <v>0</v>
      </c>
      <c r="C40" t="s">
        <v>8</v>
      </c>
    </row>
    <row r="42" spans="1:7" ht="18.75" x14ac:dyDescent="0.25">
      <c r="A42" s="25" t="s">
        <v>71</v>
      </c>
      <c r="B42" s="17"/>
      <c r="C42" s="17"/>
      <c r="D42" s="17"/>
      <c r="E42" s="17"/>
      <c r="F42" s="17"/>
      <c r="G42" s="17"/>
    </row>
    <row r="44" spans="1:7" ht="15.75" x14ac:dyDescent="0.25">
      <c r="A44" s="19" t="s">
        <v>72</v>
      </c>
      <c r="B44" s="17"/>
      <c r="C44" s="17"/>
      <c r="D44" s="17"/>
      <c r="E44" s="17"/>
      <c r="F44" s="17"/>
      <c r="G44" s="17"/>
    </row>
    <row r="45" spans="1:7" ht="15.75" x14ac:dyDescent="0.25">
      <c r="A45" s="9" t="s">
        <v>73</v>
      </c>
      <c r="B45" s="9" t="s">
        <v>74</v>
      </c>
      <c r="C45" s="9" t="s">
        <v>75</v>
      </c>
      <c r="D45" s="9" t="s">
        <v>76</v>
      </c>
      <c r="E45" s="9" t="s">
        <v>77</v>
      </c>
      <c r="F45" s="9" t="s">
        <v>78</v>
      </c>
      <c r="G45" s="9"/>
    </row>
    <row r="46" spans="1:7" x14ac:dyDescent="0.25">
      <c r="A46" s="4" t="s">
        <v>79</v>
      </c>
      <c r="B46" s="5"/>
      <c r="C46" s="5" t="s">
        <v>80</v>
      </c>
      <c r="D46" s="6">
        <f>B46*C46/100</f>
        <v>0</v>
      </c>
      <c r="E46" s="7" t="s">
        <v>81</v>
      </c>
      <c r="F46" s="7"/>
      <c r="G46" s="6"/>
    </row>
    <row r="47" spans="1:7" x14ac:dyDescent="0.25">
      <c r="A47" s="4" t="s">
        <v>82</v>
      </c>
      <c r="B47" s="5"/>
      <c r="C47" s="5" t="s">
        <v>83</v>
      </c>
      <c r="D47" s="6">
        <f>B47*C47/100</f>
        <v>0</v>
      </c>
      <c r="E47" s="7" t="s">
        <v>84</v>
      </c>
      <c r="F47" s="7"/>
      <c r="G47" s="6"/>
    </row>
    <row r="48" spans="1:7" x14ac:dyDescent="0.25">
      <c r="A48" s="4" t="s">
        <v>85</v>
      </c>
      <c r="B48" s="5"/>
      <c r="C48" s="5" t="s">
        <v>80</v>
      </c>
      <c r="D48" s="6">
        <f>B48*C48/100</f>
        <v>0</v>
      </c>
      <c r="E48" s="7" t="s">
        <v>86</v>
      </c>
      <c r="F48" s="7"/>
      <c r="G48" s="6"/>
    </row>
    <row r="49" spans="1:7" x14ac:dyDescent="0.25">
      <c r="A49" s="4" t="s">
        <v>87</v>
      </c>
      <c r="B49" s="5"/>
      <c r="C49" s="5" t="s">
        <v>88</v>
      </c>
      <c r="D49" s="6">
        <f>B49*C49/100</f>
        <v>0</v>
      </c>
      <c r="E49" s="7" t="s">
        <v>89</v>
      </c>
      <c r="F49" s="7"/>
      <c r="G49" s="6"/>
    </row>
    <row r="50" spans="1:7" x14ac:dyDescent="0.25">
      <c r="A50" s="4" t="s">
        <v>90</v>
      </c>
      <c r="B50" s="5"/>
      <c r="C50" s="5" t="s">
        <v>80</v>
      </c>
      <c r="D50" s="6">
        <f>B50*C50/100</f>
        <v>0</v>
      </c>
      <c r="E50" s="7" t="s">
        <v>91</v>
      </c>
      <c r="F50" s="7"/>
      <c r="G50" s="6"/>
    </row>
    <row r="52" spans="1:7" ht="15.75" x14ac:dyDescent="0.25">
      <c r="A52" s="1" t="s">
        <v>92</v>
      </c>
      <c r="D52" s="8">
        <f>SUM(D47:D51)</f>
        <v>0</v>
      </c>
    </row>
    <row r="54" spans="1:7" ht="15.75" x14ac:dyDescent="0.25">
      <c r="A54" s="19" t="s">
        <v>93</v>
      </c>
      <c r="B54" s="17"/>
      <c r="C54" s="17"/>
      <c r="D54" s="17"/>
      <c r="E54" s="17"/>
      <c r="F54" s="17"/>
      <c r="G54" s="17"/>
    </row>
    <row r="55" spans="1:7" ht="15.75" x14ac:dyDescent="0.25">
      <c r="A55" s="9" t="s">
        <v>94</v>
      </c>
      <c r="B55" s="9" t="s">
        <v>95</v>
      </c>
      <c r="C55" s="9" t="s">
        <v>96</v>
      </c>
      <c r="D55" s="9" t="s">
        <v>97</v>
      </c>
      <c r="E55" s="9" t="s">
        <v>98</v>
      </c>
      <c r="F55" s="9" t="s">
        <v>99</v>
      </c>
      <c r="G55" s="9" t="s">
        <v>100</v>
      </c>
    </row>
    <row r="56" spans="1:7" x14ac:dyDescent="0.25">
      <c r="A56" s="4" t="s">
        <v>101</v>
      </c>
      <c r="B56" s="10"/>
      <c r="C56" s="10"/>
      <c r="D56" s="10"/>
      <c r="E56" s="10"/>
      <c r="F56" s="10" t="s">
        <v>102</v>
      </c>
      <c r="G56" s="10"/>
    </row>
    <row r="57" spans="1:7" x14ac:dyDescent="0.25">
      <c r="A57" s="4" t="s">
        <v>103</v>
      </c>
      <c r="B57" s="10"/>
      <c r="C57" s="10"/>
      <c r="D57" s="10"/>
      <c r="E57" s="10"/>
      <c r="F57" s="10" t="s">
        <v>102</v>
      </c>
      <c r="G57" s="10"/>
    </row>
    <row r="58" spans="1:7" x14ac:dyDescent="0.25">
      <c r="A58" s="4" t="s">
        <v>104</v>
      </c>
      <c r="B58" s="10"/>
      <c r="C58" s="10"/>
      <c r="D58" s="10"/>
      <c r="E58" s="10"/>
      <c r="F58" s="10" t="s">
        <v>102</v>
      </c>
      <c r="G58" s="10"/>
    </row>
    <row r="59" spans="1:7" x14ac:dyDescent="0.25">
      <c r="A59" s="4" t="s">
        <v>105</v>
      </c>
      <c r="B59" s="10"/>
      <c r="C59" s="10"/>
      <c r="D59" s="10"/>
      <c r="E59" s="10"/>
      <c r="F59" s="10" t="s">
        <v>102</v>
      </c>
      <c r="G59" s="10"/>
    </row>
    <row r="60" spans="1:7" x14ac:dyDescent="0.25">
      <c r="A60" s="4" t="s">
        <v>106</v>
      </c>
      <c r="B60" s="10"/>
      <c r="C60" s="10"/>
      <c r="D60" s="10"/>
      <c r="E60" s="10"/>
      <c r="F60" s="10" t="s">
        <v>102</v>
      </c>
      <c r="G60" s="10"/>
    </row>
    <row r="63" spans="1:7" ht="15.75" x14ac:dyDescent="0.25">
      <c r="A63" s="19" t="s">
        <v>107</v>
      </c>
      <c r="B63" s="17"/>
      <c r="C63" s="17"/>
      <c r="D63" s="17"/>
      <c r="E63" s="17"/>
      <c r="F63" s="17"/>
      <c r="G63" s="17"/>
    </row>
    <row r="64" spans="1:7" ht="15.75" x14ac:dyDescent="0.25">
      <c r="A64" s="9" t="s">
        <v>108</v>
      </c>
      <c r="B64" s="9" t="s">
        <v>109</v>
      </c>
      <c r="C64" s="9" t="s">
        <v>110</v>
      </c>
      <c r="D64" s="9" t="s">
        <v>111</v>
      </c>
      <c r="E64" s="9" t="s">
        <v>112</v>
      </c>
      <c r="F64" s="9" t="s">
        <v>113</v>
      </c>
      <c r="G64" s="9" t="s">
        <v>114</v>
      </c>
    </row>
    <row r="65" spans="1:7" x14ac:dyDescent="0.25">
      <c r="A65" s="4" t="s">
        <v>115</v>
      </c>
      <c r="B65" s="5" t="s">
        <v>116</v>
      </c>
      <c r="C65" s="5" t="s">
        <v>116</v>
      </c>
      <c r="D65" s="6">
        <f>B65*C65</f>
        <v>2095625284</v>
      </c>
      <c r="E65" s="10" t="s">
        <v>117</v>
      </c>
      <c r="F65" s="10"/>
      <c r="G65" s="10"/>
    </row>
    <row r="66" spans="1:7" x14ac:dyDescent="0.25">
      <c r="A66" s="4" t="s">
        <v>118</v>
      </c>
      <c r="B66" s="5" t="s">
        <v>116</v>
      </c>
      <c r="C66" s="5" t="s">
        <v>116</v>
      </c>
      <c r="D66" s="6">
        <f>B66*C66</f>
        <v>2095625284</v>
      </c>
      <c r="E66" s="10" t="s">
        <v>119</v>
      </c>
      <c r="F66" s="10"/>
      <c r="G66" s="10"/>
    </row>
    <row r="67" spans="1:7" x14ac:dyDescent="0.25">
      <c r="A67" s="4" t="s">
        <v>120</v>
      </c>
      <c r="B67" s="5" t="s">
        <v>116</v>
      </c>
      <c r="C67" s="5" t="s">
        <v>116</v>
      </c>
      <c r="D67" s="6">
        <f>B67*C67</f>
        <v>2095625284</v>
      </c>
      <c r="E67" s="10" t="s">
        <v>121</v>
      </c>
      <c r="F67" s="10"/>
      <c r="G67" s="10"/>
    </row>
    <row r="68" spans="1:7" x14ac:dyDescent="0.25">
      <c r="A68" s="4" t="s">
        <v>122</v>
      </c>
      <c r="B68" s="5" t="s">
        <v>116</v>
      </c>
      <c r="C68" s="5" t="s">
        <v>116</v>
      </c>
      <c r="D68" s="6">
        <f>B68*C68</f>
        <v>2095625284</v>
      </c>
      <c r="E68" s="10" t="s">
        <v>123</v>
      </c>
      <c r="F68" s="10"/>
      <c r="G68" s="10"/>
    </row>
    <row r="69" spans="1:7" x14ac:dyDescent="0.25">
      <c r="A69" s="4" t="s">
        <v>124</v>
      </c>
      <c r="B69" s="5" t="s">
        <v>116</v>
      </c>
      <c r="C69" s="5" t="s">
        <v>116</v>
      </c>
      <c r="D69" s="6">
        <f>B69*C69</f>
        <v>2095625284</v>
      </c>
      <c r="E69" s="10" t="s">
        <v>125</v>
      </c>
      <c r="F69" s="10"/>
      <c r="G69" s="10"/>
    </row>
    <row r="72" spans="1:7" ht="18.75" x14ac:dyDescent="0.25">
      <c r="A72" s="23" t="s">
        <v>126</v>
      </c>
      <c r="B72" s="17"/>
      <c r="C72" s="17"/>
      <c r="D72" s="17"/>
      <c r="E72" s="17"/>
      <c r="F72" s="17"/>
      <c r="G72" s="17"/>
    </row>
    <row r="74" spans="1:7" ht="15.75" x14ac:dyDescent="0.25">
      <c r="A74" s="3" t="s">
        <v>127</v>
      </c>
      <c r="B74" s="3" t="s">
        <v>3</v>
      </c>
      <c r="C74" s="3" t="s">
        <v>128</v>
      </c>
      <c r="D74" s="3" t="s">
        <v>5</v>
      </c>
      <c r="E74" s="3" t="s">
        <v>129</v>
      </c>
      <c r="F74" s="3" t="s">
        <v>130</v>
      </c>
      <c r="G74" s="3"/>
    </row>
    <row r="75" spans="1:7" x14ac:dyDescent="0.25">
      <c r="A75" s="11" t="s">
        <v>7</v>
      </c>
      <c r="B75" s="12">
        <f>B18</f>
        <v>0</v>
      </c>
      <c r="C75" s="26">
        <v>1</v>
      </c>
      <c r="D75" s="12" t="s">
        <v>9</v>
      </c>
      <c r="E75" s="13" t="s">
        <v>31</v>
      </c>
      <c r="F75" s="12" t="s">
        <v>131</v>
      </c>
      <c r="G75" s="12"/>
    </row>
    <row r="76" spans="1:7" x14ac:dyDescent="0.25">
      <c r="A76" s="11" t="s">
        <v>11</v>
      </c>
      <c r="B76" s="12">
        <f>B28</f>
        <v>0</v>
      </c>
      <c r="C76" s="12" t="e">
        <f>B76/B75*100</f>
        <v>#DIV/0!</v>
      </c>
      <c r="D76" s="12" t="s">
        <v>9</v>
      </c>
      <c r="E76" s="13" t="s">
        <v>132</v>
      </c>
      <c r="F76" s="12" t="s">
        <v>133</v>
      </c>
      <c r="G76" s="12"/>
    </row>
    <row r="77" spans="1:7" x14ac:dyDescent="0.25">
      <c r="A77" s="11" t="s">
        <v>134</v>
      </c>
      <c r="B77" s="12">
        <f>B38</f>
        <v>0</v>
      </c>
      <c r="C77" s="12" t="e">
        <f>B77/B75*100</f>
        <v>#DIV/0!</v>
      </c>
      <c r="D77" s="12" t="s">
        <v>14</v>
      </c>
      <c r="E77" s="13" t="s">
        <v>135</v>
      </c>
      <c r="F77" s="12" t="s">
        <v>136</v>
      </c>
      <c r="G77" s="12"/>
    </row>
    <row r="78" spans="1:7" x14ac:dyDescent="0.25">
      <c r="A78" s="11" t="s">
        <v>137</v>
      </c>
      <c r="B78" s="12">
        <f>B39</f>
        <v>0</v>
      </c>
      <c r="C78" s="12" t="e">
        <f>B78/B75*100</f>
        <v>#DIV/0!</v>
      </c>
      <c r="D78" s="12" t="s">
        <v>9</v>
      </c>
      <c r="E78" s="13" t="s">
        <v>138</v>
      </c>
      <c r="F78" s="12" t="s">
        <v>139</v>
      </c>
      <c r="G78" s="12"/>
    </row>
    <row r="79" spans="1:7" x14ac:dyDescent="0.25">
      <c r="A79" s="11" t="s">
        <v>140</v>
      </c>
      <c r="B79" s="12">
        <f>B40</f>
        <v>0</v>
      </c>
      <c r="C79" s="12" t="e">
        <f>B79/B75*100</f>
        <v>#DIV/0!</v>
      </c>
      <c r="D79" s="12" t="s">
        <v>19</v>
      </c>
      <c r="E79" s="13" t="s">
        <v>141</v>
      </c>
      <c r="F79" s="12" t="s">
        <v>142</v>
      </c>
      <c r="G79" s="12"/>
    </row>
    <row r="82" spans="1:7" ht="18.75" x14ac:dyDescent="0.25">
      <c r="A82" s="24" t="s">
        <v>143</v>
      </c>
      <c r="B82" s="17"/>
      <c r="C82" s="17"/>
      <c r="D82" s="17"/>
      <c r="E82" s="17"/>
      <c r="F82" s="17"/>
      <c r="G82" s="17"/>
    </row>
    <row r="84" spans="1:7" ht="15.75" x14ac:dyDescent="0.25">
      <c r="A84" s="14" t="s">
        <v>144</v>
      </c>
      <c r="B84" s="14" t="s">
        <v>145</v>
      </c>
      <c r="C84" s="14" t="s">
        <v>146</v>
      </c>
      <c r="D84" s="14" t="s">
        <v>147</v>
      </c>
      <c r="E84" s="14" t="s">
        <v>148</v>
      </c>
      <c r="F84" s="14" t="s">
        <v>149</v>
      </c>
      <c r="G84" s="14" t="s">
        <v>113</v>
      </c>
    </row>
    <row r="85" spans="1:7" x14ac:dyDescent="0.25">
      <c r="A85" s="4" t="s">
        <v>150</v>
      </c>
      <c r="B85" s="10" t="s">
        <v>14</v>
      </c>
      <c r="C85" s="10" t="s">
        <v>151</v>
      </c>
      <c r="D85" s="10"/>
      <c r="E85" s="10" t="s">
        <v>14</v>
      </c>
      <c r="F85" s="10"/>
      <c r="G85" s="10"/>
    </row>
    <row r="86" spans="1:7" x14ac:dyDescent="0.25">
      <c r="A86" s="4" t="s">
        <v>152</v>
      </c>
      <c r="B86" s="10" t="s">
        <v>14</v>
      </c>
      <c r="C86" s="10" t="s">
        <v>153</v>
      </c>
      <c r="D86" s="10"/>
      <c r="E86" s="10" t="s">
        <v>14</v>
      </c>
      <c r="F86" s="10"/>
      <c r="G86" s="10"/>
    </row>
    <row r="87" spans="1:7" x14ac:dyDescent="0.25">
      <c r="A87" s="4" t="s">
        <v>154</v>
      </c>
      <c r="B87" s="10" t="s">
        <v>9</v>
      </c>
      <c r="C87" s="10" t="s">
        <v>155</v>
      </c>
      <c r="D87" s="10"/>
      <c r="E87" s="10" t="s">
        <v>9</v>
      </c>
      <c r="F87" s="10"/>
      <c r="G87" s="10"/>
    </row>
    <row r="88" spans="1:7" x14ac:dyDescent="0.25">
      <c r="A88" s="4" t="s">
        <v>156</v>
      </c>
      <c r="B88" s="10" t="s">
        <v>9</v>
      </c>
      <c r="C88" s="10" t="s">
        <v>157</v>
      </c>
      <c r="D88" s="10"/>
      <c r="E88" s="10" t="s">
        <v>9</v>
      </c>
      <c r="F88" s="10"/>
      <c r="G88" s="10"/>
    </row>
    <row r="89" spans="1:7" x14ac:dyDescent="0.25">
      <c r="A89" s="4" t="s">
        <v>158</v>
      </c>
      <c r="B89" s="10" t="s">
        <v>14</v>
      </c>
      <c r="C89" s="10" t="s">
        <v>159</v>
      </c>
      <c r="D89" s="10"/>
      <c r="E89" s="10" t="s">
        <v>14</v>
      </c>
      <c r="F89" s="10"/>
      <c r="G89" s="10"/>
    </row>
    <row r="90" spans="1:7" x14ac:dyDescent="0.25">
      <c r="A90" s="4" t="s">
        <v>160</v>
      </c>
      <c r="B90" s="10" t="s">
        <v>9</v>
      </c>
      <c r="C90" s="10" t="s">
        <v>161</v>
      </c>
      <c r="D90" s="10"/>
      <c r="E90" s="10" t="s">
        <v>9</v>
      </c>
      <c r="F90" s="10"/>
      <c r="G90" s="10"/>
    </row>
    <row r="93" spans="1:7" ht="18.75" x14ac:dyDescent="0.25">
      <c r="A93" s="18" t="s">
        <v>162</v>
      </c>
      <c r="B93" s="17"/>
      <c r="C93" s="17"/>
      <c r="D93" s="17"/>
      <c r="E93" s="17"/>
      <c r="F93" s="17"/>
      <c r="G93" s="17"/>
    </row>
    <row r="95" spans="1:7" ht="15.75" x14ac:dyDescent="0.25">
      <c r="A95" s="15" t="s">
        <v>163</v>
      </c>
      <c r="B95" s="15" t="s">
        <v>164</v>
      </c>
      <c r="C95" s="15" t="s">
        <v>113</v>
      </c>
      <c r="D95" s="15" t="s">
        <v>114</v>
      </c>
      <c r="E95" s="15" t="s">
        <v>165</v>
      </c>
      <c r="F95" s="15" t="s">
        <v>6</v>
      </c>
      <c r="G95" s="15"/>
    </row>
    <row r="96" spans="1:7" x14ac:dyDescent="0.25">
      <c r="A96" s="4" t="s">
        <v>166</v>
      </c>
      <c r="B96" s="10"/>
      <c r="C96" s="10"/>
      <c r="D96" s="10" t="s">
        <v>167</v>
      </c>
      <c r="E96" s="10"/>
      <c r="F96" s="10"/>
      <c r="G96" s="7"/>
    </row>
    <row r="97" spans="1:7" x14ac:dyDescent="0.25">
      <c r="A97" s="4" t="s">
        <v>168</v>
      </c>
      <c r="B97" s="10"/>
      <c r="C97" s="10"/>
      <c r="D97" s="10" t="s">
        <v>167</v>
      </c>
      <c r="E97" s="10"/>
      <c r="F97" s="10"/>
      <c r="G97" s="7"/>
    </row>
    <row r="98" spans="1:7" x14ac:dyDescent="0.25">
      <c r="A98" s="4" t="s">
        <v>169</v>
      </c>
      <c r="B98" s="10"/>
      <c r="C98" s="10"/>
      <c r="D98" s="10" t="s">
        <v>167</v>
      </c>
      <c r="E98" s="10"/>
      <c r="F98" s="10"/>
      <c r="G98" s="7"/>
    </row>
    <row r="99" spans="1:7" x14ac:dyDescent="0.25">
      <c r="A99" s="4" t="s">
        <v>170</v>
      </c>
      <c r="B99" s="10"/>
      <c r="C99" s="10"/>
      <c r="D99" s="10" t="s">
        <v>167</v>
      </c>
      <c r="E99" s="10"/>
      <c r="F99" s="10"/>
      <c r="G99" s="7"/>
    </row>
    <row r="100" spans="1:7" x14ac:dyDescent="0.25">
      <c r="A100" s="4" t="s">
        <v>171</v>
      </c>
      <c r="B100" s="10"/>
      <c r="C100" s="10"/>
      <c r="D100" s="10" t="s">
        <v>167</v>
      </c>
      <c r="E100" s="10"/>
      <c r="F100" s="10"/>
      <c r="G100" s="7"/>
    </row>
    <row r="101" spans="1:7" x14ac:dyDescent="0.25">
      <c r="A101" s="4" t="s">
        <v>172</v>
      </c>
      <c r="B101" s="10"/>
      <c r="C101" s="10"/>
      <c r="D101" s="10" t="s">
        <v>167</v>
      </c>
      <c r="E101" s="10"/>
      <c r="F101" s="10"/>
      <c r="G101" s="7"/>
    </row>
    <row r="102" spans="1:7" x14ac:dyDescent="0.25">
      <c r="A102" s="4" t="s">
        <v>173</v>
      </c>
      <c r="B102" s="10"/>
      <c r="C102" s="10"/>
      <c r="D102" s="10" t="s">
        <v>167</v>
      </c>
      <c r="E102" s="10"/>
      <c r="F102" s="10"/>
      <c r="G102" s="7"/>
    </row>
    <row r="103" spans="1:7" x14ac:dyDescent="0.25">
      <c r="A103" s="4" t="s">
        <v>174</v>
      </c>
      <c r="B103" s="10"/>
      <c r="C103" s="10"/>
      <c r="D103" s="10" t="s">
        <v>167</v>
      </c>
      <c r="E103" s="10"/>
      <c r="F103" s="10"/>
      <c r="G103" s="7"/>
    </row>
  </sheetData>
  <mergeCells count="17">
    <mergeCell ref="A54:G54"/>
    <mergeCell ref="A63:G63"/>
    <mergeCell ref="A72:G72"/>
    <mergeCell ref="A82:G82"/>
    <mergeCell ref="A93:G93"/>
    <mergeCell ref="B8:G8"/>
    <mergeCell ref="A10:G10"/>
    <mergeCell ref="A20:G20"/>
    <mergeCell ref="A30:G30"/>
    <mergeCell ref="A42:G42"/>
    <mergeCell ref="A44:G44"/>
    <mergeCell ref="A1:G1"/>
    <mergeCell ref="A2:G2"/>
    <mergeCell ref="A4:G4"/>
    <mergeCell ref="B5:G5"/>
    <mergeCell ref="B6:G6"/>
    <mergeCell ref="B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sqref="A1:E1"/>
    </sheetView>
  </sheetViews>
  <sheetFormatPr defaultRowHeight="15" x14ac:dyDescent="0.25"/>
  <cols>
    <col min="1" max="1" width="20" customWidth="1"/>
    <col min="2" max="3" width="15" customWidth="1"/>
    <col min="4" max="5" width="20" customWidth="1"/>
  </cols>
  <sheetData>
    <row r="1" spans="1:5" ht="21" x14ac:dyDescent="0.25">
      <c r="A1" s="16" t="s">
        <v>0</v>
      </c>
      <c r="B1" s="17"/>
      <c r="C1" s="17"/>
      <c r="D1" s="17"/>
      <c r="E1" s="17"/>
    </row>
    <row r="3" spans="1:5" ht="15.75" x14ac:dyDescent="0.25">
      <c r="A3" s="1" t="s">
        <v>1</v>
      </c>
    </row>
    <row r="4" spans="1:5" ht="15.7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t="s">
        <v>7</v>
      </c>
      <c r="B5">
        <f>'Market Analysis'!B18</f>
        <v>0</v>
      </c>
      <c r="C5" t="s">
        <v>8</v>
      </c>
      <c r="D5" t="s">
        <v>9</v>
      </c>
      <c r="E5" t="s">
        <v>10</v>
      </c>
    </row>
    <row r="6" spans="1:5" x14ac:dyDescent="0.25">
      <c r="A6" t="s">
        <v>11</v>
      </c>
      <c r="B6">
        <f>'Market Analysis'!B28</f>
        <v>0</v>
      </c>
      <c r="C6" t="s">
        <v>8</v>
      </c>
      <c r="D6" t="s">
        <v>9</v>
      </c>
      <c r="E6" t="s">
        <v>12</v>
      </c>
    </row>
    <row r="7" spans="1:5" x14ac:dyDescent="0.25">
      <c r="A7" t="s">
        <v>13</v>
      </c>
      <c r="B7">
        <f>'Market Analysis'!B38</f>
        <v>0</v>
      </c>
      <c r="C7" t="s">
        <v>8</v>
      </c>
      <c r="D7" t="s">
        <v>14</v>
      </c>
      <c r="E7" t="s">
        <v>15</v>
      </c>
    </row>
    <row r="8" spans="1:5" x14ac:dyDescent="0.25">
      <c r="A8" t="s">
        <v>16</v>
      </c>
      <c r="B8">
        <f>'Market Analysis'!B39</f>
        <v>0</v>
      </c>
      <c r="C8" t="s">
        <v>8</v>
      </c>
      <c r="D8" t="s">
        <v>9</v>
      </c>
      <c r="E8" t="s">
        <v>17</v>
      </c>
    </row>
    <row r="9" spans="1:5" x14ac:dyDescent="0.25">
      <c r="A9" t="s">
        <v>18</v>
      </c>
      <c r="B9">
        <f>'Market Analysis'!B40</f>
        <v>0</v>
      </c>
      <c r="C9" t="s">
        <v>8</v>
      </c>
      <c r="D9" t="s">
        <v>19</v>
      </c>
      <c r="E9" t="s">
        <v>20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abSelected="1" topLeftCell="A64" workbookViewId="0">
      <selection activeCell="K17" sqref="K17"/>
    </sheetView>
  </sheetViews>
  <sheetFormatPr defaultRowHeight="15" x14ac:dyDescent="0.25"/>
  <cols>
    <col min="1" max="1" width="41.7109375" customWidth="1"/>
    <col min="2" max="2" width="22.85546875" style="27" customWidth="1"/>
    <col min="3" max="4" width="15" customWidth="1"/>
    <col min="5" max="5" width="20" customWidth="1"/>
    <col min="6" max="6" width="15" customWidth="1"/>
    <col min="7" max="7" width="25" customWidth="1"/>
  </cols>
  <sheetData>
    <row r="1" spans="1:7" ht="21" x14ac:dyDescent="0.25">
      <c r="A1" s="16" t="s">
        <v>21</v>
      </c>
      <c r="B1" s="17"/>
      <c r="C1" s="17"/>
      <c r="D1" s="17"/>
      <c r="E1" s="17"/>
      <c r="F1" s="17"/>
      <c r="G1" s="17"/>
    </row>
    <row r="2" spans="1:7" x14ac:dyDescent="0.25">
      <c r="A2" s="22" t="s">
        <v>22</v>
      </c>
      <c r="B2" s="17"/>
      <c r="C2" s="17"/>
      <c r="D2" s="17"/>
      <c r="E2" s="17"/>
      <c r="F2" s="17"/>
      <c r="G2" s="17"/>
    </row>
    <row r="4" spans="1:7" ht="18.75" x14ac:dyDescent="0.25">
      <c r="A4" s="20" t="s">
        <v>23</v>
      </c>
      <c r="B4" s="17"/>
      <c r="C4" s="17"/>
      <c r="D4" s="17"/>
      <c r="E4" s="17"/>
      <c r="F4" s="17"/>
      <c r="G4" s="17"/>
    </row>
    <row r="5" spans="1:7" ht="15.75" x14ac:dyDescent="0.25">
      <c r="A5" s="1" t="s">
        <v>24</v>
      </c>
      <c r="B5" s="21"/>
      <c r="C5" s="17"/>
      <c r="D5" s="17"/>
      <c r="E5" s="17"/>
      <c r="F5" s="17"/>
      <c r="G5" s="17"/>
    </row>
    <row r="6" spans="1:7" ht="15.75" x14ac:dyDescent="0.25">
      <c r="A6" s="1" t="s">
        <v>25</v>
      </c>
      <c r="B6" s="21"/>
      <c r="C6" s="17"/>
      <c r="D6" s="17"/>
      <c r="E6" s="17"/>
      <c r="F6" s="17"/>
      <c r="G6" s="17"/>
    </row>
    <row r="7" spans="1:7" ht="15.75" x14ac:dyDescent="0.25">
      <c r="A7" s="1" t="s">
        <v>26</v>
      </c>
      <c r="B7" s="21"/>
      <c r="C7" s="17"/>
      <c r="D7" s="17"/>
      <c r="E7" s="17"/>
      <c r="F7" s="17"/>
      <c r="G7" s="17"/>
    </row>
    <row r="8" spans="1:7" ht="15.75" x14ac:dyDescent="0.25">
      <c r="A8" s="1" t="s">
        <v>27</v>
      </c>
      <c r="B8" s="21"/>
      <c r="C8" s="17"/>
      <c r="D8" s="17"/>
      <c r="E8" s="17"/>
      <c r="F8" s="17"/>
      <c r="G8" s="17"/>
    </row>
    <row r="10" spans="1:7" ht="18.75" x14ac:dyDescent="0.25">
      <c r="A10" s="20" t="s">
        <v>28</v>
      </c>
      <c r="B10" s="17"/>
      <c r="C10" s="17"/>
      <c r="D10" s="17"/>
      <c r="E10" s="17"/>
      <c r="F10" s="17"/>
      <c r="G10" s="17"/>
    </row>
    <row r="11" spans="1:7" ht="15.75" x14ac:dyDescent="0.25">
      <c r="A11" s="3" t="s">
        <v>2</v>
      </c>
      <c r="B11" s="28" t="s">
        <v>3</v>
      </c>
      <c r="C11" s="3" t="s">
        <v>4</v>
      </c>
      <c r="D11" s="3" t="s">
        <v>29</v>
      </c>
      <c r="E11" s="3" t="s">
        <v>6</v>
      </c>
      <c r="F11" s="3" t="s">
        <v>5</v>
      </c>
      <c r="G11" s="3"/>
    </row>
    <row r="12" spans="1:7" x14ac:dyDescent="0.25">
      <c r="A12" s="4" t="s">
        <v>30</v>
      </c>
      <c r="B12" s="29"/>
      <c r="C12" s="6" t="s">
        <v>8</v>
      </c>
      <c r="D12" s="7"/>
      <c r="E12" s="7" t="s">
        <v>31</v>
      </c>
      <c r="F12" s="6" t="s">
        <v>14</v>
      </c>
      <c r="G12" s="6"/>
    </row>
    <row r="13" spans="1:7" x14ac:dyDescent="0.25">
      <c r="A13" s="4" t="s">
        <v>32</v>
      </c>
      <c r="B13" s="29"/>
      <c r="C13" s="6" t="s">
        <v>33</v>
      </c>
      <c r="D13" s="7"/>
      <c r="E13" s="7" t="s">
        <v>34</v>
      </c>
      <c r="F13" s="6" t="s">
        <v>9</v>
      </c>
      <c r="G13" s="6"/>
    </row>
    <row r="14" spans="1:7" x14ac:dyDescent="0.25">
      <c r="A14" s="4" t="s">
        <v>35</v>
      </c>
      <c r="B14" s="29"/>
      <c r="C14" s="6" t="s">
        <v>36</v>
      </c>
      <c r="D14" s="7"/>
      <c r="E14" s="7" t="s">
        <v>37</v>
      </c>
      <c r="F14" s="6" t="s">
        <v>9</v>
      </c>
      <c r="G14" s="6"/>
    </row>
    <row r="15" spans="1:7" x14ac:dyDescent="0.25">
      <c r="A15" s="4" t="s">
        <v>38</v>
      </c>
      <c r="B15" s="29"/>
      <c r="C15" s="6" t="s">
        <v>39</v>
      </c>
      <c r="D15" s="7"/>
      <c r="E15" s="7" t="s">
        <v>40</v>
      </c>
      <c r="F15" s="6" t="s">
        <v>9</v>
      </c>
      <c r="G15" s="6"/>
    </row>
    <row r="16" spans="1:7" x14ac:dyDescent="0.25">
      <c r="A16" s="4" t="s">
        <v>41</v>
      </c>
      <c r="B16" s="29"/>
      <c r="C16" s="6" t="s">
        <v>33</v>
      </c>
      <c r="D16" s="7"/>
      <c r="E16" s="7" t="s">
        <v>42</v>
      </c>
      <c r="F16" s="6" t="s">
        <v>19</v>
      </c>
      <c r="G16" s="6"/>
    </row>
    <row r="18" spans="1:7" ht="15.75" x14ac:dyDescent="0.25">
      <c r="A18" s="1" t="s">
        <v>43</v>
      </c>
      <c r="B18" s="30">
        <f>B12*B14</f>
        <v>0</v>
      </c>
      <c r="C18" t="s">
        <v>8</v>
      </c>
    </row>
    <row r="20" spans="1:7" ht="18.75" x14ac:dyDescent="0.25">
      <c r="A20" s="20" t="s">
        <v>44</v>
      </c>
      <c r="B20" s="17"/>
      <c r="C20" s="17"/>
      <c r="D20" s="17"/>
      <c r="E20" s="17"/>
      <c r="F20" s="17"/>
      <c r="G20" s="17"/>
    </row>
    <row r="21" spans="1:7" ht="15.75" x14ac:dyDescent="0.25">
      <c r="A21" s="3" t="s">
        <v>2</v>
      </c>
      <c r="B21" s="28" t="s">
        <v>3</v>
      </c>
      <c r="C21" s="3" t="s">
        <v>4</v>
      </c>
      <c r="D21" s="3" t="s">
        <v>29</v>
      </c>
      <c r="E21" s="3" t="s">
        <v>6</v>
      </c>
      <c r="F21" s="3" t="s">
        <v>5</v>
      </c>
      <c r="G21" s="3"/>
    </row>
    <row r="22" spans="1:7" x14ac:dyDescent="0.25">
      <c r="A22" s="4" t="s">
        <v>45</v>
      </c>
      <c r="B22" s="29"/>
      <c r="C22" s="6" t="s">
        <v>33</v>
      </c>
      <c r="D22" s="7"/>
      <c r="E22" s="7" t="s">
        <v>46</v>
      </c>
      <c r="F22" s="6" t="s">
        <v>14</v>
      </c>
      <c r="G22" s="6"/>
    </row>
    <row r="23" spans="1:7" x14ac:dyDescent="0.25">
      <c r="A23" s="4" t="s">
        <v>47</v>
      </c>
      <c r="B23" s="29"/>
      <c r="C23" s="6" t="s">
        <v>33</v>
      </c>
      <c r="D23" s="7"/>
      <c r="E23" s="7" t="s">
        <v>48</v>
      </c>
      <c r="F23" s="6" t="s">
        <v>9</v>
      </c>
      <c r="G23" s="6"/>
    </row>
    <row r="24" spans="1:7" x14ac:dyDescent="0.25">
      <c r="A24" s="4" t="s">
        <v>49</v>
      </c>
      <c r="B24" s="29"/>
      <c r="C24" s="6" t="s">
        <v>33</v>
      </c>
      <c r="D24" s="7"/>
      <c r="E24" s="7" t="s">
        <v>50</v>
      </c>
      <c r="F24" s="6" t="s">
        <v>9</v>
      </c>
      <c r="G24" s="6"/>
    </row>
    <row r="25" spans="1:7" x14ac:dyDescent="0.25">
      <c r="A25" s="4" t="s">
        <v>51</v>
      </c>
      <c r="B25" s="29"/>
      <c r="C25" s="6" t="s">
        <v>33</v>
      </c>
      <c r="D25" s="7"/>
      <c r="E25" s="7" t="s">
        <v>52</v>
      </c>
      <c r="F25" s="6" t="s">
        <v>14</v>
      </c>
      <c r="G25" s="6"/>
    </row>
    <row r="26" spans="1:7" x14ac:dyDescent="0.25">
      <c r="A26" s="4" t="s">
        <v>53</v>
      </c>
      <c r="B26" s="29"/>
      <c r="C26" s="6" t="s">
        <v>33</v>
      </c>
      <c r="D26" s="7"/>
      <c r="E26" s="7" t="s">
        <v>54</v>
      </c>
      <c r="F26" s="6" t="s">
        <v>9</v>
      </c>
      <c r="G26" s="6"/>
    </row>
    <row r="28" spans="1:7" ht="15.75" x14ac:dyDescent="0.25">
      <c r="A28" s="1" t="s">
        <v>55</v>
      </c>
      <c r="B28" s="30">
        <f>B18*B22*B23*B24*B25*B26/100^5</f>
        <v>0</v>
      </c>
      <c r="C28" t="s">
        <v>8</v>
      </c>
    </row>
    <row r="30" spans="1:7" ht="18.75" x14ac:dyDescent="0.25">
      <c r="A30" s="20" t="s">
        <v>56</v>
      </c>
      <c r="B30" s="17"/>
      <c r="C30" s="17"/>
      <c r="D30" s="17"/>
      <c r="E30" s="17"/>
      <c r="F30" s="17"/>
      <c r="G30" s="17"/>
    </row>
    <row r="31" spans="1:7" ht="15.75" x14ac:dyDescent="0.25">
      <c r="A31" s="3" t="s">
        <v>2</v>
      </c>
      <c r="B31" s="28" t="s">
        <v>3</v>
      </c>
      <c r="C31" s="3" t="s">
        <v>4</v>
      </c>
      <c r="D31" s="3" t="s">
        <v>29</v>
      </c>
      <c r="E31" s="3" t="s">
        <v>6</v>
      </c>
      <c r="F31" s="3" t="s">
        <v>5</v>
      </c>
      <c r="G31" s="3"/>
    </row>
    <row r="32" spans="1:7" x14ac:dyDescent="0.25">
      <c r="A32" s="4" t="s">
        <v>57</v>
      </c>
      <c r="B32" s="29"/>
      <c r="C32" s="6" t="s">
        <v>33</v>
      </c>
      <c r="D32" s="7"/>
      <c r="E32" s="7" t="s">
        <v>58</v>
      </c>
      <c r="F32" s="6" t="s">
        <v>14</v>
      </c>
      <c r="G32" s="6"/>
    </row>
    <row r="33" spans="1:7" x14ac:dyDescent="0.25">
      <c r="A33" s="4" t="s">
        <v>59</v>
      </c>
      <c r="B33" s="29"/>
      <c r="C33" s="6" t="s">
        <v>33</v>
      </c>
      <c r="D33" s="7"/>
      <c r="E33" s="7" t="s">
        <v>60</v>
      </c>
      <c r="F33" s="6" t="s">
        <v>9</v>
      </c>
      <c r="G33" s="6"/>
    </row>
    <row r="34" spans="1:7" x14ac:dyDescent="0.25">
      <c r="A34" s="4" t="s">
        <v>61</v>
      </c>
      <c r="B34" s="29"/>
      <c r="C34" s="6" t="s">
        <v>33</v>
      </c>
      <c r="D34" s="7"/>
      <c r="E34" s="7" t="s">
        <v>62</v>
      </c>
      <c r="F34" s="6" t="s">
        <v>19</v>
      </c>
      <c r="G34" s="6"/>
    </row>
    <row r="35" spans="1:7" x14ac:dyDescent="0.25">
      <c r="A35" s="4" t="s">
        <v>63</v>
      </c>
      <c r="B35" s="29"/>
      <c r="C35" s="6" t="s">
        <v>64</v>
      </c>
      <c r="D35" s="7"/>
      <c r="E35" s="7" t="s">
        <v>65</v>
      </c>
      <c r="F35" s="6" t="s">
        <v>9</v>
      </c>
      <c r="G35" s="6"/>
    </row>
    <row r="36" spans="1:7" x14ac:dyDescent="0.25">
      <c r="A36" s="4" t="s">
        <v>66</v>
      </c>
      <c r="B36" s="29"/>
      <c r="C36" s="6" t="s">
        <v>33</v>
      </c>
      <c r="D36" s="7"/>
      <c r="E36" s="7" t="s">
        <v>67</v>
      </c>
      <c r="F36" s="6" t="s">
        <v>14</v>
      </c>
      <c r="G36" s="6"/>
    </row>
    <row r="38" spans="1:7" ht="15.75" x14ac:dyDescent="0.25">
      <c r="A38" s="1" t="s">
        <v>68</v>
      </c>
      <c r="B38" s="30">
        <f>B28*B32/100</f>
        <v>0</v>
      </c>
      <c r="C38" t="s">
        <v>8</v>
      </c>
    </row>
    <row r="39" spans="1:7" ht="15.75" x14ac:dyDescent="0.25">
      <c r="A39" s="1" t="s">
        <v>69</v>
      </c>
      <c r="B39" s="30">
        <f>B28*B33/100</f>
        <v>0</v>
      </c>
      <c r="C39" t="s">
        <v>8</v>
      </c>
    </row>
    <row r="40" spans="1:7" ht="15.75" x14ac:dyDescent="0.25">
      <c r="A40" s="1" t="s">
        <v>70</v>
      </c>
      <c r="B40" s="30">
        <f>B28*B34/100</f>
        <v>0</v>
      </c>
      <c r="C40" t="s">
        <v>8</v>
      </c>
    </row>
    <row r="42" spans="1:7" ht="18.75" x14ac:dyDescent="0.25">
      <c r="A42" s="25" t="s">
        <v>71</v>
      </c>
      <c r="B42" s="17"/>
      <c r="C42" s="17"/>
      <c r="D42" s="17"/>
      <c r="E42" s="17"/>
      <c r="F42" s="17"/>
      <c r="G42" s="17"/>
    </row>
    <row r="44" spans="1:7" ht="18.75" x14ac:dyDescent="0.25">
      <c r="A44" s="31" t="s">
        <v>175</v>
      </c>
      <c r="B44" s="31"/>
      <c r="C44" s="32"/>
      <c r="D44" s="32"/>
      <c r="E44" s="32"/>
      <c r="F44" s="32"/>
      <c r="G44" s="32"/>
    </row>
    <row r="45" spans="1:7" ht="30" x14ac:dyDescent="0.25">
      <c r="A45" s="33" t="s">
        <v>176</v>
      </c>
      <c r="B45" s="34"/>
    </row>
    <row r="46" spans="1:7" ht="30" x14ac:dyDescent="0.25">
      <c r="A46" s="33" t="s">
        <v>177</v>
      </c>
      <c r="B46" s="34"/>
    </row>
    <row r="47" spans="1:7" ht="30" x14ac:dyDescent="0.25">
      <c r="A47" s="33" t="s">
        <v>178</v>
      </c>
      <c r="B47" s="34"/>
    </row>
    <row r="48" spans="1:7" ht="30" x14ac:dyDescent="0.25">
      <c r="A48" s="33" t="s">
        <v>179</v>
      </c>
      <c r="B48" s="35" t="s">
        <v>180</v>
      </c>
    </row>
    <row r="50" spans="1:3" ht="18.75" x14ac:dyDescent="0.25">
      <c r="A50" s="31" t="s">
        <v>181</v>
      </c>
      <c r="B50" s="31"/>
    </row>
    <row r="51" spans="1:3" x14ac:dyDescent="0.25">
      <c r="A51" s="33" t="s">
        <v>182</v>
      </c>
      <c r="B51" s="33"/>
      <c r="C51" s="27"/>
    </row>
    <row r="52" spans="1:3" x14ac:dyDescent="0.25">
      <c r="A52" s="33" t="s">
        <v>183</v>
      </c>
      <c r="B52" s="33"/>
      <c r="C52" s="27"/>
    </row>
    <row r="53" spans="1:3" x14ac:dyDescent="0.25">
      <c r="A53" s="33" t="s">
        <v>184</v>
      </c>
      <c r="B53" s="33"/>
      <c r="C53" s="27"/>
    </row>
    <row r="54" spans="1:3" x14ac:dyDescent="0.25">
      <c r="A54" s="33" t="s">
        <v>185</v>
      </c>
      <c r="B54" s="33"/>
      <c r="C54" s="27"/>
    </row>
    <row r="55" spans="1:3" x14ac:dyDescent="0.25">
      <c r="A55" s="33" t="s">
        <v>186</v>
      </c>
      <c r="B55" s="33"/>
      <c r="C55" s="27"/>
    </row>
    <row r="56" spans="1:3" x14ac:dyDescent="0.25">
      <c r="A56" s="27"/>
    </row>
    <row r="57" spans="1:3" ht="18.75" x14ac:dyDescent="0.25">
      <c r="A57" s="31" t="s">
        <v>187</v>
      </c>
      <c r="B57" s="31"/>
    </row>
    <row r="58" spans="1:3" x14ac:dyDescent="0.25">
      <c r="A58" s="33" t="s">
        <v>188</v>
      </c>
      <c r="B58" s="33"/>
      <c r="C58" s="27"/>
    </row>
    <row r="59" spans="1:3" x14ac:dyDescent="0.25">
      <c r="A59" s="33" t="s">
        <v>189</v>
      </c>
      <c r="B59" s="33"/>
      <c r="C59" s="27"/>
    </row>
    <row r="60" spans="1:3" x14ac:dyDescent="0.25">
      <c r="A60" s="33" t="s">
        <v>190</v>
      </c>
      <c r="B60" s="33"/>
      <c r="C60" s="27"/>
    </row>
    <row r="63" spans="1:3" ht="18.75" x14ac:dyDescent="0.25">
      <c r="A63" s="31" t="s">
        <v>191</v>
      </c>
      <c r="B63" s="31"/>
    </row>
    <row r="64" spans="1:3" ht="30" x14ac:dyDescent="0.25">
      <c r="A64" s="33" t="s">
        <v>192</v>
      </c>
      <c r="B64" s="33"/>
    </row>
    <row r="65" spans="1:3" ht="30" x14ac:dyDescent="0.25">
      <c r="A65" s="33" t="s">
        <v>193</v>
      </c>
      <c r="B65" s="33"/>
    </row>
    <row r="66" spans="1:3" ht="30" x14ac:dyDescent="0.25">
      <c r="A66" s="33" t="s">
        <v>194</v>
      </c>
      <c r="B66" s="33"/>
    </row>
    <row r="67" spans="1:3" ht="30" x14ac:dyDescent="0.25">
      <c r="A67" s="33" t="s">
        <v>195</v>
      </c>
      <c r="B67" s="33"/>
    </row>
    <row r="70" spans="1:3" ht="18.75" x14ac:dyDescent="0.25">
      <c r="A70" s="31" t="s">
        <v>196</v>
      </c>
      <c r="B70" s="31"/>
    </row>
    <row r="71" spans="1:3" ht="30" x14ac:dyDescent="0.25">
      <c r="A71" s="33" t="s">
        <v>197</v>
      </c>
      <c r="B71" s="33"/>
      <c r="C71" s="27"/>
    </row>
    <row r="72" spans="1:3" ht="30" x14ac:dyDescent="0.25">
      <c r="A72" s="33" t="s">
        <v>198</v>
      </c>
      <c r="B72" s="33"/>
    </row>
    <row r="73" spans="1:3" ht="30" x14ac:dyDescent="0.25">
      <c r="A73" s="33" t="s">
        <v>199</v>
      </c>
      <c r="B73" s="33"/>
      <c r="C73" s="27"/>
    </row>
    <row r="75" spans="1:3" x14ac:dyDescent="0.25">
      <c r="C75" s="27"/>
    </row>
  </sheetData>
  <mergeCells count="11">
    <mergeCell ref="B6:G6"/>
    <mergeCell ref="A1:G1"/>
    <mergeCell ref="A10:G10"/>
    <mergeCell ref="B5:G5"/>
    <mergeCell ref="A4:G4"/>
    <mergeCell ref="B8:G8"/>
    <mergeCell ref="A20:G20"/>
    <mergeCell ref="A30:G30"/>
    <mergeCell ref="A2:G2"/>
    <mergeCell ref="B7:G7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Analysis (2)</vt:lpstr>
      <vt:lpstr>Dashboard</vt:lpstr>
      <vt:lpstr>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GOWRAV</cp:lastModifiedBy>
  <dcterms:created xsi:type="dcterms:W3CDTF">2025-07-04T03:17:28Z</dcterms:created>
  <dcterms:modified xsi:type="dcterms:W3CDTF">2025-07-04T04:20:56Z</dcterms:modified>
</cp:coreProperties>
</file>