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3 Templates/"/>
    </mc:Choice>
  </mc:AlternateContent>
  <xr:revisionPtr revIDLastSave="93" documentId="11_765FEAA39C799FE2E5589303B0212116476A1E10" xr6:coauthVersionLast="47" xr6:coauthVersionMax="47" xr10:uidLastSave="{1A3AEA46-E9D7-4103-B7E4-591702EC7330}"/>
  <bookViews>
    <workbookView xWindow="28680" yWindow="1830" windowWidth="29040" windowHeight="15840" firstSheet="3" activeTab="8" xr2:uid="{00000000-000D-0000-FFFF-FFFF00000000}"/>
  </bookViews>
  <sheets>
    <sheet name="Dashboard" sheetId="1" r:id="rId1"/>
    <sheet name="Startup Costs" sheetId="2" r:id="rId2"/>
    <sheet name="Operating Expenses" sheetId="3" r:id="rId3"/>
    <sheet name="Revenue Projections" sheetId="4" r:id="rId4"/>
    <sheet name="Cash Flow Projections" sheetId="5" r:id="rId5"/>
    <sheet name="Break-even Analysis" sheetId="6" r:id="rId6"/>
    <sheet name="Funding Calculator" sheetId="7" r:id="rId7"/>
    <sheet name="Scenario Analysis" sheetId="8" r:id="rId8"/>
    <sheet name="Resource Directo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7" l="1"/>
  <c r="B5" i="6"/>
  <c r="B5" i="7"/>
  <c r="B8" i="6"/>
  <c r="B10" i="6"/>
  <c r="C27" i="5"/>
  <c r="B25" i="5"/>
  <c r="C23" i="5"/>
  <c r="B21" i="5"/>
  <c r="C19" i="5"/>
  <c r="B17" i="5"/>
  <c r="C15" i="5"/>
  <c r="B13" i="5"/>
  <c r="C11" i="5"/>
  <c r="B9" i="5"/>
  <c r="C7" i="5"/>
  <c r="B5" i="5"/>
  <c r="D27" i="4"/>
  <c r="B27" i="5" s="1"/>
  <c r="D27" i="5" s="1"/>
  <c r="D26" i="4"/>
  <c r="D25" i="4"/>
  <c r="D24" i="4"/>
  <c r="B24" i="5" s="1"/>
  <c r="D23" i="4"/>
  <c r="B23" i="5" s="1"/>
  <c r="D22" i="4"/>
  <c r="D21" i="4"/>
  <c r="D20" i="4"/>
  <c r="D19" i="4"/>
  <c r="B19" i="5" s="1"/>
  <c r="D19" i="5" s="1"/>
  <c r="D18" i="4"/>
  <c r="B18" i="5" s="1"/>
  <c r="D17" i="4"/>
  <c r="D16" i="4"/>
  <c r="D15" i="4"/>
  <c r="B15" i="5" s="1"/>
  <c r="D14" i="4"/>
  <c r="B14" i="5" s="1"/>
  <c r="D13" i="4"/>
  <c r="D12" i="4"/>
  <c r="D11" i="4"/>
  <c r="B11" i="5" s="1"/>
  <c r="D11" i="5" s="1"/>
  <c r="D10" i="4"/>
  <c r="B10" i="5" s="1"/>
  <c r="D9" i="4"/>
  <c r="D8" i="4"/>
  <c r="D7" i="4"/>
  <c r="B7" i="5" s="1"/>
  <c r="D6" i="4"/>
  <c r="B6" i="5" s="1"/>
  <c r="D5" i="4"/>
  <c r="D4" i="4"/>
  <c r="E4" i="4" s="1"/>
  <c r="C16" i="3"/>
  <c r="C26" i="5"/>
  <c r="D14" i="3"/>
  <c r="D13" i="3"/>
  <c r="D12" i="3"/>
  <c r="D11" i="3"/>
  <c r="D10" i="3"/>
  <c r="D9" i="3"/>
  <c r="D8" i="3"/>
  <c r="D7" i="3"/>
  <c r="D6" i="3"/>
  <c r="D5" i="3"/>
  <c r="D4" i="3"/>
  <c r="D16" i="3" s="1"/>
  <c r="C15" i="2"/>
  <c r="D7" i="5" l="1"/>
  <c r="D15" i="5"/>
  <c r="D23" i="5"/>
  <c r="D24" i="5"/>
  <c r="B11" i="6"/>
  <c r="B11" i="1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B4" i="5"/>
  <c r="B8" i="5"/>
  <c r="B12" i="5"/>
  <c r="B20" i="5"/>
  <c r="C4" i="5"/>
  <c r="C20" i="5"/>
  <c r="B9" i="7"/>
  <c r="C5" i="5"/>
  <c r="D5" i="5" s="1"/>
  <c r="C9" i="5"/>
  <c r="D9" i="5" s="1"/>
  <c r="C13" i="5"/>
  <c r="D13" i="5" s="1"/>
  <c r="C17" i="5"/>
  <c r="D17" i="5" s="1"/>
  <c r="C21" i="5"/>
  <c r="D21" i="5" s="1"/>
  <c r="B22" i="5"/>
  <c r="C25" i="5"/>
  <c r="D25" i="5" s="1"/>
  <c r="B26" i="5"/>
  <c r="D26" i="5" s="1"/>
  <c r="B16" i="5"/>
  <c r="C8" i="5"/>
  <c r="C12" i="5"/>
  <c r="C16" i="5"/>
  <c r="C24" i="5"/>
  <c r="C6" i="5"/>
  <c r="D6" i="5" s="1"/>
  <c r="C10" i="5"/>
  <c r="D10" i="5" s="1"/>
  <c r="C14" i="5"/>
  <c r="D14" i="5" s="1"/>
  <c r="C18" i="5"/>
  <c r="D18" i="5" s="1"/>
  <c r="C22" i="5"/>
  <c r="D16" i="5" l="1"/>
  <c r="D20" i="5"/>
  <c r="B11" i="7"/>
  <c r="B12" i="1" s="1"/>
  <c r="D12" i="5"/>
  <c r="D22" i="5"/>
  <c r="D8" i="5"/>
  <c r="D4" i="5"/>
  <c r="E4" i="5" s="1"/>
  <c r="F4" i="5" s="1"/>
  <c r="F5" i="5" s="1"/>
  <c r="F6" i="5" s="1"/>
  <c r="F7" i="5" s="1"/>
  <c r="F8" i="5" s="1"/>
  <c r="F9" i="5" s="1"/>
  <c r="F10" i="5" s="1"/>
  <c r="F11" i="5" s="1"/>
  <c r="F12" i="5" l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</calcChain>
</file>

<file path=xl/sharedStrings.xml><?xml version="1.0" encoding="utf-8"?>
<sst xmlns="http://schemas.openxmlformats.org/spreadsheetml/2006/main" count="195" uniqueCount="166">
  <si>
    <t>Dashboard</t>
  </si>
  <si>
    <t>Financial Modeling Toolkit</t>
  </si>
  <si>
    <t>Comprehensive Business Financial Planning</t>
  </si>
  <si>
    <t>KEY FINANCIAL METRICS</t>
  </si>
  <si>
    <t>Total Startup Costs:</t>
  </si>
  <si>
    <t>Monthly Operating Expenses:</t>
  </si>
  <si>
    <t>Break-even Point (Months):</t>
  </si>
  <si>
    <t>Funding Required:</t>
  </si>
  <si>
    <t>STARTUP COSTS CALCULATOR</t>
  </si>
  <si>
    <t>Category</t>
  </si>
  <si>
    <t>Description</t>
  </si>
  <si>
    <t>Amount</t>
  </si>
  <si>
    <t>Notes</t>
  </si>
  <si>
    <t>Legal &amp; Professional</t>
  </si>
  <si>
    <t>Business registration, legal fees</t>
  </si>
  <si>
    <t>Varies by business structure</t>
  </si>
  <si>
    <t>Technology Setup</t>
  </si>
  <si>
    <t>Website, software, equipment</t>
  </si>
  <si>
    <t>Include no-code platform costs</t>
  </si>
  <si>
    <t>Marketing &amp; Branding</t>
  </si>
  <si>
    <t>Logo, website, initial marketing</t>
  </si>
  <si>
    <t>Essential for customer acquisition</t>
  </si>
  <si>
    <t>Office &amp; Equipment</t>
  </si>
  <si>
    <t>Workspace, furniture, supplies</t>
  </si>
  <si>
    <t>Consider remote work options</t>
  </si>
  <si>
    <t>Insurance</t>
  </si>
  <si>
    <t>Liability, professional, health</t>
  </si>
  <si>
    <t>Critical risk management</t>
  </si>
  <si>
    <t>Initial Inventory</t>
  </si>
  <si>
    <t>Product inventory or supplies</t>
  </si>
  <si>
    <t>If applicable to business model</t>
  </si>
  <si>
    <t>Working Capital</t>
  </si>
  <si>
    <t>Operating expenses buffer</t>
  </si>
  <si>
    <t>3-6 months of expenses</t>
  </si>
  <si>
    <t>Licenses &amp; Permits</t>
  </si>
  <si>
    <t>Required business licenses</t>
  </si>
  <si>
    <t>Research local requirements</t>
  </si>
  <si>
    <t>Professional Services</t>
  </si>
  <si>
    <t>Accounting, consulting setup</t>
  </si>
  <si>
    <t>Essential professional support</t>
  </si>
  <si>
    <t>Contingency Fund</t>
  </si>
  <si>
    <t>Unexpected expenses</t>
  </si>
  <si>
    <t>10-15% of total budget</t>
  </si>
  <si>
    <t>TOTAL STARTUP COSTS</t>
  </si>
  <si>
    <t>MONTHLY OPERATING EXPENSES</t>
  </si>
  <si>
    <t>Expense Category</t>
  </si>
  <si>
    <t>Monthly Amount</t>
  </si>
  <si>
    <t>Annual Amount</t>
  </si>
  <si>
    <t>Rent/Office Space</t>
  </si>
  <si>
    <t>Office rent or co-working</t>
  </si>
  <si>
    <t>Utilities</t>
  </si>
  <si>
    <t>Internet, phone, electricity</t>
  </si>
  <si>
    <t>Software Subscriptions</t>
  </si>
  <si>
    <t>Business software, tools</t>
  </si>
  <si>
    <t>Marketing &amp; Advertising</t>
  </si>
  <si>
    <t>Digital marketing, ads</t>
  </si>
  <si>
    <t>Legal, accounting, consulting</t>
  </si>
  <si>
    <t>Business insurance premiums</t>
  </si>
  <si>
    <t>Travel &amp; Transportation</t>
  </si>
  <si>
    <t>Business travel, fuel</t>
  </si>
  <si>
    <t>Office Supplies</t>
  </si>
  <si>
    <t>Supplies, materials</t>
  </si>
  <si>
    <t>Telecommunications</t>
  </si>
  <si>
    <t>Phone, internet, communication</t>
  </si>
  <si>
    <t>Professional Development</t>
  </si>
  <si>
    <t>Training, courses, conferences</t>
  </si>
  <si>
    <t>Miscellaneous</t>
  </si>
  <si>
    <t>Other business expenses</t>
  </si>
  <si>
    <t>TOTAL MONTHLY EXPENSES</t>
  </si>
  <si>
    <t>REVENUE PROJECTIONS</t>
  </si>
  <si>
    <t>Month</t>
  </si>
  <si>
    <t>Customers</t>
  </si>
  <si>
    <t>Avg Revenue/Customer</t>
  </si>
  <si>
    <t>Monthly Revenue</t>
  </si>
  <si>
    <t>Cumulative Revenue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</si>
  <si>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</si>
  <si>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</si>
  <si>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</si>
  <si>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</si>
  <si>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</si>
  <si>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</si>
  <si>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</si>
  <si>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</si>
  <si>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</si>
  <si>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</si>
  <si>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</si>
  <si>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</si>
  <si>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</si>
  <si>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</si>
  <si>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</si>
  <si>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</si>
  <si>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</si>
  <si>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</si>
  <si>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</si>
  <si>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</si>
  <si>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</si>
  <si>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</si>
  <si>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</si>
  <si>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</si>
  <si>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CASH FLOW PROJECTIONS</t>
  </si>
  <si>
    <t>Revenue</t>
  </si>
  <si>
    <t>Operating Expenses</t>
  </si>
  <si>
    <t>Net Cash Flow</t>
  </si>
  <si>
    <t>Cumulative Cash</t>
  </si>
  <si>
    <t>Cash Position</t>
  </si>
  <si>
    <t>BREAK-EVEN ANALYSIS</t>
  </si>
  <si>
    <t>BREAK-EVEN CALCULATION</t>
  </si>
  <si>
    <t>Fixed Monthly Costs:</t>
  </si>
  <si>
    <t>Average Revenue per Customer:</t>
  </si>
  <si>
    <t>Variable Cost per Customer:</t>
  </si>
  <si>
    <t>Contribution Margin per Customer:</t>
  </si>
  <si>
    <t>Break-even Customers per Month:</t>
  </si>
  <si>
    <t>Break-even Revenue per Month:</t>
  </si>
  <si>
    <t>FUNDING REQUIREMENTS CALCULATOR</t>
  </si>
  <si>
    <t>FUNDING CALCULATION</t>
  </si>
  <si>
    <t>Startup Costs:</t>
  </si>
  <si>
    <t>Working Capital (6 months):</t>
  </si>
  <si>
    <t>Personal Living Expenses (6 months):</t>
  </si>
  <si>
    <t>Marketing &amp; Growth Capital:</t>
  </si>
  <si>
    <t>Contingency (20%):</t>
  </si>
  <si>
    <t>TOTAL FUNDING REQUIRED:</t>
  </si>
  <si>
    <t>SCENARIO ANALYSIS</t>
  </si>
  <si>
    <t>Scenario</t>
  </si>
  <si>
    <t>Revenue Growth Rate</t>
  </si>
  <si>
    <t>Customer Acquisition</t>
  </si>
  <si>
    <t>Break-even Month</t>
  </si>
  <si>
    <t>Funding Required</t>
  </si>
  <si>
    <t>Conservative</t>
  </si>
  <si>
    <t>10%</t>
  </si>
  <si>
    <t>Slow</t>
  </si>
  <si>
    <t>Realistic</t>
  </si>
  <si>
    <t>25%</t>
  </si>
  <si>
    <t>Moderate</t>
  </si>
  <si>
    <t>Optimistic</t>
  </si>
  <si>
    <t>50%</t>
  </si>
  <si>
    <t>Fast</t>
  </si>
  <si>
    <t>Funding Source Evaluation</t>
  </si>
  <si>
    <t>Traditional lending options researched</t>
  </si>
  <si>
    <t>Alternative funding sources explored</t>
  </si>
  <si>
    <t>Bootstrap funding capacity assessed</t>
  </si>
  <si>
    <t>Investment capital requirements understood</t>
  </si>
  <si>
    <t>Funding timeline and milestones established</t>
  </si>
  <si>
    <t>Backup funding plans developed</t>
  </si>
  <si>
    <t>Government Resources</t>
  </si>
  <si>
    <t>Traditional Lenders</t>
  </si>
  <si>
    <t>Alternative Funding Platforms</t>
  </si>
  <si>
    <t>Resource Directory</t>
  </si>
  <si>
    <t>SCORE Mentoring: www.score.org</t>
  </si>
  <si>
    <t>Small Business Development Centers: www.sba.gov/sbdc</t>
  </si>
  <si>
    <t>Women’s Business Centers: www.sba.gov/wbc</t>
  </si>
  <si>
    <t>Minority Business Development Agency: www.mbda.gov</t>
  </si>
  <si>
    <t>Community Banks: Local and regional banks</t>
  </si>
  <si>
    <t>Credit Unions: Member-owned financial cooperatives</t>
  </si>
  <si>
    <t>SBA Preferred Lenders: Banks with streamlined SBA processes</t>
  </si>
  <si>
    <t>Equipment Financing Companies: Specialized equipment lenders</t>
  </si>
  <si>
    <t>Commercial Finance Companies: Alternative commercial lenders</t>
  </si>
  <si>
    <t>Crowdfunding: Kickstarter, Indiegogo, GoFundMe</t>
  </si>
  <si>
    <t>Peer-to-Peer Lending: Funding Circle, Kiva Microfunds</t>
  </si>
  <si>
    <t>Revenue-Based Financing: Lighter Capital, Clearbanc</t>
  </si>
  <si>
    <t>Invoice Factoring: BlueVine, Fundbox</t>
  </si>
  <si>
    <t>Merchant Cash Advances: OnDeck, Kabbage</t>
  </si>
  <si>
    <t>Attorneys: Business formation and contracts</t>
  </si>
  <si>
    <t>Accountants: Tax planning and financial management</t>
  </si>
  <si>
    <t>Financial Advisors: Personal and business financial planning</t>
  </si>
  <si>
    <t>Business Consultants: Strategy and operations guidance</t>
  </si>
  <si>
    <t>Insurance Agents: Business and personal insurance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</si>
</sst>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2"/>
      <name val="Calibri"/>
    </font>
    <font>
      <b/>
      <sz val="11"/>
      <color rgb="FFFFFFFF"/>
      <name val="Calibri"/>
    </font>
    <font>
      <b/>
      <sz val="14"/>
      <color rgb="FF366092"/>
      <name val="Calibri"/>
    </font>
    <font>
      <b/>
      <sz val="11"/>
      <name val="Calibri"/>
    </font>
    <font>
      <b/>
      <sz val="14"/>
      <color rgb="FF366092"/>
      <name val="Calibri"/>
      <family val="2"/>
    </font>
    <font>
      <b/>
      <sz val="14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5" fillId="0" borderId="1" xfId="0" applyFont="1" applyBorder="1"/>
    <xf numFmtId="164" fontId="5" fillId="0" borderId="1" xfId="0" applyNumberFormat="1" applyFont="1" applyBorder="1"/>
    <xf numFmtId="0" fontId="0" fillId="0" borderId="0" xfId="0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4" sqref="A14"/>
    </sheetView>
  </sheetViews>
  <sheetFormatPr defaultRowHeight="15" x14ac:dyDescent="0.25"/>
  <cols>
    <col min="1" max="1" width="43" customWidth="1"/>
    <col min="2" max="2" width="32" customWidth="1"/>
  </cols>
  <sheetData>
    <row r="1" spans="1:2" ht="18.75" customHeight="1" x14ac:dyDescent="0.3">
      <c r="A1" s="3" t="s">
        <v>0</v>
      </c>
    </row>
    <row r="2" spans="1:2" ht="18.75" customHeight="1" x14ac:dyDescent="0.3">
      <c r="A2" s="3"/>
    </row>
    <row r="3" spans="1:2" ht="21" customHeight="1" x14ac:dyDescent="0.35">
      <c r="A3" s="1" t="s">
        <v>1</v>
      </c>
    </row>
    <row r="4" spans="1:2" ht="15.75" customHeight="1" x14ac:dyDescent="0.25">
      <c r="A4" s="2" t="s">
        <v>2</v>
      </c>
    </row>
    <row r="7" spans="1:2" x14ac:dyDescent="0.25">
      <c r="A7" s="4" t="s">
        <v>3</v>
      </c>
      <c r="B7" s="4"/>
    </row>
    <row r="8" spans="1:2" x14ac:dyDescent="0.25">
      <c r="A8" s="5"/>
      <c r="B8" s="5"/>
    </row>
    <row r="9" spans="1:2" x14ac:dyDescent="0.25">
      <c r="A9" s="5" t="s">
        <v>4</v>
      </c>
      <c r="B9" s="6">
        <v>10000</v>
      </c>
    </row>
    <row r="10" spans="1:2" x14ac:dyDescent="0.25">
      <c r="A10" s="5" t="s">
        <v>5</v>
      </c>
      <c r="B10" s="6">
        <v>5000</v>
      </c>
    </row>
    <row r="11" spans="1:2" x14ac:dyDescent="0.25">
      <c r="A11" s="5" t="s">
        <v>6</v>
      </c>
      <c r="B11" s="5">
        <f>'Break-even Analysis'!B10</f>
        <v>44.166666666666664</v>
      </c>
    </row>
    <row r="12" spans="1:2" x14ac:dyDescent="0.25">
      <c r="A12" s="5" t="s">
        <v>7</v>
      </c>
      <c r="B12" s="6">
        <f>'Funding Calculator'!B11</f>
        <v>150360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B24" sqref="B24"/>
    </sheetView>
  </sheetViews>
  <sheetFormatPr defaultRowHeight="15" x14ac:dyDescent="0.25"/>
  <cols>
    <col min="1" max="1" width="45" customWidth="1"/>
    <col min="2" max="2" width="35" customWidth="1"/>
    <col min="3" max="3" width="14" customWidth="1"/>
    <col min="4" max="4" width="36" customWidth="1"/>
  </cols>
  <sheetData>
    <row r="1" spans="1:4" ht="18.75" customHeight="1" x14ac:dyDescent="0.3">
      <c r="A1" s="3" t="s">
        <v>8</v>
      </c>
    </row>
    <row r="3" spans="1:4" x14ac:dyDescent="0.25">
      <c r="A3" s="4" t="s">
        <v>9</v>
      </c>
      <c r="B3" s="4" t="s">
        <v>10</v>
      </c>
      <c r="C3" s="4" t="s">
        <v>11</v>
      </c>
      <c r="D3" s="4" t="s">
        <v>12</v>
      </c>
    </row>
    <row r="4" spans="1:4" x14ac:dyDescent="0.25">
      <c r="A4" s="5" t="s">
        <v>13</v>
      </c>
      <c r="B4" s="5" t="s">
        <v>14</v>
      </c>
      <c r="C4" s="6">
        <v>2500</v>
      </c>
      <c r="D4" s="5" t="s">
        <v>15</v>
      </c>
    </row>
    <row r="5" spans="1:4" x14ac:dyDescent="0.25">
      <c r="A5" s="5" t="s">
        <v>16</v>
      </c>
      <c r="B5" s="5" t="s">
        <v>17</v>
      </c>
      <c r="C5" s="6">
        <v>5000</v>
      </c>
      <c r="D5" s="5" t="s">
        <v>18</v>
      </c>
    </row>
    <row r="6" spans="1:4" x14ac:dyDescent="0.25">
      <c r="A6" s="5" t="s">
        <v>19</v>
      </c>
      <c r="B6" s="5" t="s">
        <v>20</v>
      </c>
      <c r="C6" s="6">
        <v>3000</v>
      </c>
      <c r="D6" s="5" t="s">
        <v>21</v>
      </c>
    </row>
    <row r="7" spans="1:4" x14ac:dyDescent="0.25">
      <c r="A7" s="5" t="s">
        <v>22</v>
      </c>
      <c r="B7" s="5" t="s">
        <v>23</v>
      </c>
      <c r="C7" s="6">
        <v>4000</v>
      </c>
      <c r="D7" s="5" t="s">
        <v>24</v>
      </c>
    </row>
    <row r="8" spans="1:4" x14ac:dyDescent="0.25">
      <c r="A8" s="5" t="s">
        <v>25</v>
      </c>
      <c r="B8" s="5" t="s">
        <v>26</v>
      </c>
      <c r="C8" s="6">
        <v>2000</v>
      </c>
      <c r="D8" s="5" t="s">
        <v>27</v>
      </c>
    </row>
    <row r="9" spans="1:4" x14ac:dyDescent="0.25">
      <c r="A9" s="5" t="s">
        <v>28</v>
      </c>
      <c r="B9" s="5" t="s">
        <v>29</v>
      </c>
      <c r="C9" s="6">
        <v>10000</v>
      </c>
      <c r="D9" s="5" t="s">
        <v>30</v>
      </c>
    </row>
    <row r="10" spans="1:4" x14ac:dyDescent="0.25">
      <c r="A10" s="5" t="s">
        <v>31</v>
      </c>
      <c r="B10" s="5" t="s">
        <v>32</v>
      </c>
      <c r="C10" s="6">
        <v>15000</v>
      </c>
      <c r="D10" s="5" t="s">
        <v>33</v>
      </c>
    </row>
    <row r="11" spans="1:4" x14ac:dyDescent="0.25">
      <c r="A11" s="5" t="s">
        <v>34</v>
      </c>
      <c r="B11" s="5" t="s">
        <v>35</v>
      </c>
      <c r="C11" s="6">
        <v>500</v>
      </c>
      <c r="D11" s="5" t="s">
        <v>36</v>
      </c>
    </row>
    <row r="12" spans="1:4" x14ac:dyDescent="0.25">
      <c r="A12" s="5" t="s">
        <v>37</v>
      </c>
      <c r="B12" s="5" t="s">
        <v>38</v>
      </c>
      <c r="C12" s="6">
        <v>1500</v>
      </c>
      <c r="D12" s="5" t="s">
        <v>39</v>
      </c>
    </row>
    <row r="13" spans="1:4" x14ac:dyDescent="0.25">
      <c r="A13" s="5" t="s">
        <v>40</v>
      </c>
      <c r="B13" s="5" t="s">
        <v>41</v>
      </c>
      <c r="C13" s="6">
        <v>5000</v>
      </c>
      <c r="D13" s="5" t="s">
        <v>42</v>
      </c>
    </row>
    <row r="14" spans="1:4" x14ac:dyDescent="0.25">
      <c r="A14" s="5"/>
      <c r="B14" s="5"/>
      <c r="C14" s="5"/>
      <c r="D14" s="5"/>
    </row>
    <row r="15" spans="1:4" x14ac:dyDescent="0.25">
      <c r="A15" s="7" t="s">
        <v>43</v>
      </c>
      <c r="B15" s="5"/>
      <c r="C15" s="8">
        <f>SUM(C4:C13)</f>
        <v>48500</v>
      </c>
      <c r="D15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G17" sqref="G17"/>
    </sheetView>
  </sheetViews>
  <sheetFormatPr defaultRowHeight="15" x14ac:dyDescent="0.25"/>
  <cols>
    <col min="1" max="1" width="47" customWidth="1"/>
    <col min="2" max="2" width="32" customWidth="1"/>
    <col min="3" max="3" width="16" customWidth="1"/>
    <col min="4" max="4" width="15" customWidth="1"/>
  </cols>
  <sheetData>
    <row r="1" spans="1:4" ht="18.75" customHeight="1" x14ac:dyDescent="0.3">
      <c r="A1" s="3" t="s">
        <v>44</v>
      </c>
    </row>
    <row r="3" spans="1:4" x14ac:dyDescent="0.25">
      <c r="A3" s="4" t="s">
        <v>45</v>
      </c>
      <c r="B3" s="4" t="s">
        <v>10</v>
      </c>
      <c r="C3" s="4" t="s">
        <v>46</v>
      </c>
      <c r="D3" s="4" t="s">
        <v>47</v>
      </c>
    </row>
    <row r="4" spans="1:4" x14ac:dyDescent="0.25">
      <c r="A4" s="5" t="s">
        <v>48</v>
      </c>
      <c r="B4" s="5" t="s">
        <v>49</v>
      </c>
      <c r="C4" s="6">
        <v>1500</v>
      </c>
      <c r="D4" s="6">
        <f t="shared" ref="D4:D14" si="0">C4*12</f>
        <v>18000</v>
      </c>
    </row>
    <row r="5" spans="1:4" x14ac:dyDescent="0.25">
      <c r="A5" s="5" t="s">
        <v>50</v>
      </c>
      <c r="B5" s="5" t="s">
        <v>51</v>
      </c>
      <c r="C5" s="6">
        <v>200</v>
      </c>
      <c r="D5" s="6">
        <f t="shared" si="0"/>
        <v>2400</v>
      </c>
    </row>
    <row r="6" spans="1:4" x14ac:dyDescent="0.25">
      <c r="A6" s="5" t="s">
        <v>52</v>
      </c>
      <c r="B6" s="5" t="s">
        <v>53</v>
      </c>
      <c r="C6" s="6">
        <v>300</v>
      </c>
      <c r="D6" s="6">
        <f t="shared" si="0"/>
        <v>3600</v>
      </c>
    </row>
    <row r="7" spans="1:4" x14ac:dyDescent="0.25">
      <c r="A7" s="5" t="s">
        <v>54</v>
      </c>
      <c r="B7" s="5" t="s">
        <v>55</v>
      </c>
      <c r="C7" s="6">
        <v>1000</v>
      </c>
      <c r="D7" s="6">
        <f t="shared" si="0"/>
        <v>12000</v>
      </c>
    </row>
    <row r="8" spans="1:4" x14ac:dyDescent="0.25">
      <c r="A8" s="5" t="s">
        <v>37</v>
      </c>
      <c r="B8" s="5" t="s">
        <v>56</v>
      </c>
      <c r="C8" s="6">
        <v>800</v>
      </c>
      <c r="D8" s="6">
        <f t="shared" si="0"/>
        <v>9600</v>
      </c>
    </row>
    <row r="9" spans="1:4" x14ac:dyDescent="0.25">
      <c r="A9" s="5" t="s">
        <v>25</v>
      </c>
      <c r="B9" s="5" t="s">
        <v>57</v>
      </c>
      <c r="C9" s="6">
        <v>400</v>
      </c>
      <c r="D9" s="6">
        <f t="shared" si="0"/>
        <v>4800</v>
      </c>
    </row>
    <row r="10" spans="1:4" x14ac:dyDescent="0.25">
      <c r="A10" s="5" t="s">
        <v>58</v>
      </c>
      <c r="B10" s="5" t="s">
        <v>59</v>
      </c>
      <c r="C10" s="6">
        <v>300</v>
      </c>
      <c r="D10" s="6">
        <f t="shared" si="0"/>
        <v>3600</v>
      </c>
    </row>
    <row r="11" spans="1:4" x14ac:dyDescent="0.25">
      <c r="A11" s="5" t="s">
        <v>60</v>
      </c>
      <c r="B11" s="5" t="s">
        <v>61</v>
      </c>
      <c r="C11" s="6">
        <v>150</v>
      </c>
      <c r="D11" s="6">
        <f t="shared" si="0"/>
        <v>1800</v>
      </c>
    </row>
    <row r="12" spans="1:4" x14ac:dyDescent="0.25">
      <c r="A12" s="5" t="s">
        <v>62</v>
      </c>
      <c r="B12" s="5" t="s">
        <v>63</v>
      </c>
      <c r="C12" s="6">
        <v>200</v>
      </c>
      <c r="D12" s="6">
        <f t="shared" si="0"/>
        <v>2400</v>
      </c>
    </row>
    <row r="13" spans="1:4" x14ac:dyDescent="0.25">
      <c r="A13" s="5" t="s">
        <v>64</v>
      </c>
      <c r="B13" s="5" t="s">
        <v>65</v>
      </c>
      <c r="C13" s="6">
        <v>250</v>
      </c>
      <c r="D13" s="6">
        <f t="shared" si="0"/>
        <v>3000</v>
      </c>
    </row>
    <row r="14" spans="1:4" x14ac:dyDescent="0.25">
      <c r="A14" s="5" t="s">
        <v>66</v>
      </c>
      <c r="B14" s="5" t="s">
        <v>67</v>
      </c>
      <c r="C14" s="6">
        <v>200</v>
      </c>
      <c r="D14" s="6">
        <f t="shared" si="0"/>
        <v>2400</v>
      </c>
    </row>
    <row r="15" spans="1:4" x14ac:dyDescent="0.25">
      <c r="A15" s="5"/>
      <c r="B15" s="5"/>
      <c r="C15" s="5"/>
      <c r="D15" s="5"/>
    </row>
    <row r="16" spans="1:4" x14ac:dyDescent="0.25">
      <c r="A16" s="7" t="s">
        <v>68</v>
      </c>
      <c r="B16" s="5"/>
      <c r="C16" s="8">
        <f>SUM(C4:C14)</f>
        <v>5300</v>
      </c>
      <c r="D16" s="8">
        <f>SUM(D4:D14)</f>
        <v>63600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topLeftCell="A3" workbookViewId="0">
      <selection activeCell="E32" sqref="E32"/>
    </sheetView>
  </sheetViews>
  <sheetFormatPr defaultRowHeight="15" x14ac:dyDescent="0.25"/>
  <cols>
    <col min="1" max="1" width="40" customWidth="1"/>
    <col min="2" max="2" width="11" customWidth="1"/>
    <col min="3" max="3" width="22" customWidth="1"/>
    <col min="4" max="4" width="17" customWidth="1"/>
    <col min="5" max="5" width="20" customWidth="1"/>
  </cols>
  <sheetData>
    <row r="1" spans="1:5" ht="18.75" customHeight="1" x14ac:dyDescent="0.3">
      <c r="A1" s="3" t="s">
        <v>69</v>
      </c>
    </row>
    <row r="3" spans="1:5" x14ac:dyDescent="0.25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</row>
    <row r="4" spans="1:5" x14ac:dyDescent="0.25">
      <c r="A4" s="5" t="s">
        <v>75</v>
      </c>
      <c r="B4" s="5">
        <v>2</v>
      </c>
      <c r="C4" s="6">
        <v>150</v>
      </c>
      <c r="D4" s="6">
        <f t="shared" ref="D4:D27" si="0">B4*C4</f>
        <v>300</v>
      </c>
      <c r="E4" s="6">
        <f>D4</f>
        <v>300</v>
      </c>
    </row>
    <row r="5" spans="1:5" x14ac:dyDescent="0.25">
      <c r="A5" s="5" t="s">
        <v>76</v>
      </c>
      <c r="B5" s="5">
        <v>4</v>
      </c>
      <c r="C5" s="6">
        <v>150</v>
      </c>
      <c r="D5" s="6">
        <f t="shared" si="0"/>
        <v>600</v>
      </c>
      <c r="E5" s="6">
        <f t="shared" ref="E5:E27" si="1">D5+E4</f>
        <v>900</v>
      </c>
    </row>
    <row r="6" spans="1:5" x14ac:dyDescent="0.25">
      <c r="A6" s="5" t="s">
        <v>77</v>
      </c>
      <c r="B6" s="5">
        <v>6</v>
      </c>
      <c r="C6" s="6">
        <v>150</v>
      </c>
      <c r="D6" s="6">
        <f t="shared" si="0"/>
        <v>900</v>
      </c>
      <c r="E6" s="6">
        <f t="shared" si="1"/>
        <v>1800</v>
      </c>
    </row>
    <row r="7" spans="1:5" x14ac:dyDescent="0.25">
      <c r="A7" s="5" t="s">
        <v>78</v>
      </c>
      <c r="B7" s="5">
        <v>9</v>
      </c>
      <c r="C7" s="6">
        <v>150</v>
      </c>
      <c r="D7" s="6">
        <f t="shared" si="0"/>
        <v>1350</v>
      </c>
      <c r="E7" s="6">
        <f t="shared" si="1"/>
        <v>3150</v>
      </c>
    </row>
    <row r="8" spans="1:5" x14ac:dyDescent="0.25">
      <c r="A8" s="5" t="s">
        <v>79</v>
      </c>
      <c r="B8" s="5">
        <v>12</v>
      </c>
      <c r="C8" s="6">
        <v>150</v>
      </c>
      <c r="D8" s="6">
        <f t="shared" si="0"/>
        <v>1800</v>
      </c>
      <c r="E8" s="6">
        <f t="shared" si="1"/>
        <v>4950</v>
      </c>
    </row>
    <row r="9" spans="1:5" x14ac:dyDescent="0.25">
      <c r="A9" s="5" t="s">
        <v>80</v>
      </c>
      <c r="B9" s="5">
        <v>15</v>
      </c>
      <c r="C9" s="6">
        <v>150</v>
      </c>
      <c r="D9" s="6">
        <f t="shared" si="0"/>
        <v>2250</v>
      </c>
      <c r="E9" s="6">
        <f t="shared" si="1"/>
        <v>7200</v>
      </c>
    </row>
    <row r="10" spans="1:5" x14ac:dyDescent="0.25">
      <c r="A10" s="5" t="s">
        <v>81</v>
      </c>
      <c r="B10" s="5">
        <v>20</v>
      </c>
      <c r="C10" s="6">
        <v>150</v>
      </c>
      <c r="D10" s="6">
        <f t="shared" si="0"/>
        <v>3000</v>
      </c>
      <c r="E10" s="6">
        <f t="shared" si="1"/>
        <v>10200</v>
      </c>
    </row>
    <row r="11" spans="1:5" x14ac:dyDescent="0.25">
      <c r="A11" s="5" t="s">
        <v>82</v>
      </c>
      <c r="B11" s="5">
        <v>25</v>
      </c>
      <c r="C11" s="6">
        <v>150</v>
      </c>
      <c r="D11" s="6">
        <f t="shared" si="0"/>
        <v>3750</v>
      </c>
      <c r="E11" s="6">
        <f t="shared" si="1"/>
        <v>13950</v>
      </c>
    </row>
    <row r="12" spans="1:5" x14ac:dyDescent="0.25">
      <c r="A12" s="5" t="s">
        <v>83</v>
      </c>
      <c r="B12" s="5">
        <v>30</v>
      </c>
      <c r="C12" s="6">
        <v>150</v>
      </c>
      <c r="D12" s="6">
        <f t="shared" si="0"/>
        <v>4500</v>
      </c>
      <c r="E12" s="6">
        <f t="shared" si="1"/>
        <v>18450</v>
      </c>
    </row>
    <row r="13" spans="1:5" x14ac:dyDescent="0.25">
      <c r="A13" s="5" t="s">
        <v>84</v>
      </c>
      <c r="B13" s="5">
        <v>35</v>
      </c>
      <c r="C13" s="6">
        <v>150</v>
      </c>
      <c r="D13" s="6">
        <f t="shared" si="0"/>
        <v>5250</v>
      </c>
      <c r="E13" s="6">
        <f t="shared" si="1"/>
        <v>23700</v>
      </c>
    </row>
    <row r="14" spans="1:5" x14ac:dyDescent="0.25">
      <c r="A14" s="5" t="s">
        <v>85</v>
      </c>
      <c r="B14" s="5">
        <v>40</v>
      </c>
      <c r="C14" s="6">
        <v>150</v>
      </c>
      <c r="D14" s="6">
        <f t="shared" si="0"/>
        <v>6000</v>
      </c>
      <c r="E14" s="6">
        <f t="shared" si="1"/>
        <v>29700</v>
      </c>
    </row>
    <row r="15" spans="1:5" x14ac:dyDescent="0.25">
      <c r="A15" s="5" t="s">
        <v>86</v>
      </c>
      <c r="B15" s="5">
        <v>45</v>
      </c>
      <c r="C15" s="6">
        <v>150</v>
      </c>
      <c r="D15" s="6">
        <f t="shared" si="0"/>
        <v>6750</v>
      </c>
      <c r="E15" s="6">
        <f t="shared" si="1"/>
        <v>36450</v>
      </c>
    </row>
    <row r="16" spans="1:5" x14ac:dyDescent="0.25">
      <c r="A16" s="5" t="s">
        <v>87</v>
      </c>
      <c r="B16" s="5">
        <v>53</v>
      </c>
      <c r="C16" s="6">
        <v>150</v>
      </c>
      <c r="D16" s="6">
        <f t="shared" si="0"/>
        <v>7950</v>
      </c>
      <c r="E16" s="6">
        <f t="shared" si="1"/>
        <v>44400</v>
      </c>
    </row>
    <row r="17" spans="1:5" x14ac:dyDescent="0.25">
      <c r="A17" s="5" t="s">
        <v>88</v>
      </c>
      <c r="B17" s="5">
        <v>61</v>
      </c>
      <c r="C17" s="6">
        <v>150</v>
      </c>
      <c r="D17" s="6">
        <f t="shared" si="0"/>
        <v>9150</v>
      </c>
      <c r="E17" s="6">
        <f t="shared" si="1"/>
        <v>53550</v>
      </c>
    </row>
    <row r="18" spans="1:5" x14ac:dyDescent="0.25">
      <c r="A18" s="5" t="s">
        <v>89</v>
      </c>
      <c r="B18" s="5">
        <v>69</v>
      </c>
      <c r="C18" s="6">
        <v>150</v>
      </c>
      <c r="D18" s="6">
        <f t="shared" si="0"/>
        <v>10350</v>
      </c>
      <c r="E18" s="6">
        <f t="shared" si="1"/>
        <v>63900</v>
      </c>
    </row>
    <row r="19" spans="1:5" x14ac:dyDescent="0.25">
      <c r="A19" s="5" t="s">
        <v>90</v>
      </c>
      <c r="B19" s="5">
        <v>77</v>
      </c>
      <c r="C19" s="6">
        <v>150</v>
      </c>
      <c r="D19" s="6">
        <f t="shared" si="0"/>
        <v>11550</v>
      </c>
      <c r="E19" s="6">
        <f t="shared" si="1"/>
        <v>75450</v>
      </c>
    </row>
    <row r="20" spans="1:5" x14ac:dyDescent="0.25">
      <c r="A20" s="5" t="s">
        <v>91</v>
      </c>
      <c r="B20" s="5">
        <v>85</v>
      </c>
      <c r="C20" s="6">
        <v>150</v>
      </c>
      <c r="D20" s="6">
        <f t="shared" si="0"/>
        <v>12750</v>
      </c>
      <c r="E20" s="6">
        <f t="shared" si="1"/>
        <v>88200</v>
      </c>
    </row>
    <row r="21" spans="1:5" x14ac:dyDescent="0.25">
      <c r="A21" s="5" t="s">
        <v>92</v>
      </c>
      <c r="B21" s="5">
        <v>93</v>
      </c>
      <c r="C21" s="6">
        <v>150</v>
      </c>
      <c r="D21" s="6">
        <f t="shared" si="0"/>
        <v>13950</v>
      </c>
      <c r="E21" s="6">
        <f t="shared" si="1"/>
        <v>102150</v>
      </c>
    </row>
    <row r="22" spans="1:5" x14ac:dyDescent="0.25">
      <c r="A22" s="5" t="s">
        <v>93</v>
      </c>
      <c r="B22" s="5">
        <v>101</v>
      </c>
      <c r="C22" s="6">
        <v>150</v>
      </c>
      <c r="D22" s="6">
        <f t="shared" si="0"/>
        <v>15150</v>
      </c>
      <c r="E22" s="6">
        <f t="shared" si="1"/>
        <v>117300</v>
      </c>
    </row>
    <row r="23" spans="1:5" x14ac:dyDescent="0.25">
      <c r="A23" s="5" t="s">
        <v>94</v>
      </c>
      <c r="B23" s="5">
        <v>109</v>
      </c>
      <c r="C23" s="6">
        <v>150</v>
      </c>
      <c r="D23" s="6">
        <f t="shared" si="0"/>
        <v>16350</v>
      </c>
      <c r="E23" s="6">
        <f t="shared" si="1"/>
        <v>133650</v>
      </c>
    </row>
    <row r="24" spans="1:5" x14ac:dyDescent="0.25">
      <c r="A24" s="5" t="s">
        <v>95</v>
      </c>
      <c r="B24" s="5">
        <v>117</v>
      </c>
      <c r="C24" s="6">
        <v>150</v>
      </c>
      <c r="D24" s="6">
        <f t="shared" si="0"/>
        <v>17550</v>
      </c>
      <c r="E24" s="6">
        <f t="shared" si="1"/>
        <v>151200</v>
      </c>
    </row>
    <row r="25" spans="1:5" x14ac:dyDescent="0.25">
      <c r="A25" s="5" t="s">
        <v>96</v>
      </c>
      <c r="B25" s="5">
        <v>125</v>
      </c>
      <c r="C25" s="6">
        <v>150</v>
      </c>
      <c r="D25" s="6">
        <f t="shared" si="0"/>
        <v>18750</v>
      </c>
      <c r="E25" s="6">
        <f t="shared" si="1"/>
        <v>169950</v>
      </c>
    </row>
    <row r="26" spans="1:5" x14ac:dyDescent="0.25">
      <c r="A26" s="5" t="s">
        <v>97</v>
      </c>
      <c r="B26" s="5">
        <v>133</v>
      </c>
      <c r="C26" s="6">
        <v>150</v>
      </c>
      <c r="D26" s="6">
        <f t="shared" si="0"/>
        <v>19950</v>
      </c>
      <c r="E26" s="6">
        <f t="shared" si="1"/>
        <v>189900</v>
      </c>
    </row>
    <row r="27" spans="1:5" x14ac:dyDescent="0.25">
      <c r="A27" s="5" t="s">
        <v>98</v>
      </c>
      <c r="B27" s="5">
        <v>141</v>
      </c>
      <c r="C27" s="6">
        <v>150</v>
      </c>
      <c r="D27" s="6">
        <f t="shared" si="0"/>
        <v>21150</v>
      </c>
      <c r="E27" s="6">
        <f t="shared" si="1"/>
        <v>211050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workbookViewId="0">
      <selection activeCell="J22" sqref="J22"/>
    </sheetView>
  </sheetViews>
  <sheetFormatPr defaultRowHeight="15" x14ac:dyDescent="0.25"/>
  <cols>
    <col min="1" max="1" width="42" customWidth="1"/>
    <col min="2" max="3" width="28" customWidth="1"/>
    <col min="4" max="4" width="15" customWidth="1"/>
    <col min="5" max="5" width="17" customWidth="1"/>
    <col min="6" max="6" width="15" customWidth="1"/>
  </cols>
  <sheetData>
    <row r="1" spans="1:6" ht="18.75" customHeight="1" x14ac:dyDescent="0.3">
      <c r="A1" s="3" t="s">
        <v>99</v>
      </c>
    </row>
    <row r="3" spans="1:6" x14ac:dyDescent="0.25">
      <c r="A3" s="4" t="s">
        <v>70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</row>
    <row r="4" spans="1:6" x14ac:dyDescent="0.25">
      <c r="A4" s="5" t="s">
        <v>75</v>
      </c>
      <c r="B4" s="6">
        <f>'Revenue Projections'!D4</f>
        <v>300</v>
      </c>
      <c r="C4" s="6">
        <f>'Operating Expenses'!C$15</f>
        <v>0</v>
      </c>
      <c r="D4" s="6">
        <f t="shared" ref="D4:D27" si="0">B4-C4</f>
        <v>300</v>
      </c>
      <c r="E4" s="6">
        <f>D4</f>
        <v>300</v>
      </c>
      <c r="F4" s="6">
        <f>50000+E4</f>
        <v>50300</v>
      </c>
    </row>
    <row r="5" spans="1:6" x14ac:dyDescent="0.25">
      <c r="A5" s="5" t="s">
        <v>76</v>
      </c>
      <c r="B5" s="6">
        <f>'Revenue Projections'!D5</f>
        <v>600</v>
      </c>
      <c r="C5" s="6">
        <f>'Operating Expenses'!C$15</f>
        <v>0</v>
      </c>
      <c r="D5" s="6">
        <f t="shared" si="0"/>
        <v>600</v>
      </c>
      <c r="E5" s="6">
        <f t="shared" ref="E5:E27" si="1">D5+E4</f>
        <v>900</v>
      </c>
      <c r="F5" s="6">
        <f t="shared" ref="F5:F27" si="2">F4+D5</f>
        <v>50900</v>
      </c>
    </row>
    <row r="6" spans="1:6" x14ac:dyDescent="0.25">
      <c r="A6" s="5" t="s">
        <v>77</v>
      </c>
      <c r="B6" s="6">
        <f>'Revenue Projections'!D6</f>
        <v>900</v>
      </c>
      <c r="C6" s="6">
        <f>'Operating Expenses'!C$15</f>
        <v>0</v>
      </c>
      <c r="D6" s="6">
        <f t="shared" si="0"/>
        <v>900</v>
      </c>
      <c r="E6" s="6">
        <f t="shared" si="1"/>
        <v>1800</v>
      </c>
      <c r="F6" s="6">
        <f t="shared" si="2"/>
        <v>51800</v>
      </c>
    </row>
    <row r="7" spans="1:6" x14ac:dyDescent="0.25">
      <c r="A7" s="5" t="s">
        <v>78</v>
      </c>
      <c r="B7" s="6">
        <f>'Revenue Projections'!D7</f>
        <v>1350</v>
      </c>
      <c r="C7" s="6">
        <f>'Operating Expenses'!C$15</f>
        <v>0</v>
      </c>
      <c r="D7" s="6">
        <f t="shared" si="0"/>
        <v>1350</v>
      </c>
      <c r="E7" s="6">
        <f t="shared" si="1"/>
        <v>3150</v>
      </c>
      <c r="F7" s="6">
        <f t="shared" si="2"/>
        <v>53150</v>
      </c>
    </row>
    <row r="8" spans="1:6" x14ac:dyDescent="0.25">
      <c r="A8" s="5" t="s">
        <v>79</v>
      </c>
      <c r="B8" s="6">
        <f>'Revenue Projections'!D8</f>
        <v>1800</v>
      </c>
      <c r="C8" s="6">
        <f>'Operating Expenses'!C$15</f>
        <v>0</v>
      </c>
      <c r="D8" s="6">
        <f t="shared" si="0"/>
        <v>1800</v>
      </c>
      <c r="E8" s="6">
        <f t="shared" si="1"/>
        <v>4950</v>
      </c>
      <c r="F8" s="6">
        <f t="shared" si="2"/>
        <v>54950</v>
      </c>
    </row>
    <row r="9" spans="1:6" x14ac:dyDescent="0.25">
      <c r="A9" s="5" t="s">
        <v>80</v>
      </c>
      <c r="B9" s="6">
        <f>'Revenue Projections'!D9</f>
        <v>2250</v>
      </c>
      <c r="C9" s="6">
        <f>'Operating Expenses'!C$15</f>
        <v>0</v>
      </c>
      <c r="D9" s="6">
        <f t="shared" si="0"/>
        <v>2250</v>
      </c>
      <c r="E9" s="6">
        <f t="shared" si="1"/>
        <v>7200</v>
      </c>
      <c r="F9" s="6">
        <f t="shared" si="2"/>
        <v>57200</v>
      </c>
    </row>
    <row r="10" spans="1:6" x14ac:dyDescent="0.25">
      <c r="A10" s="5" t="s">
        <v>81</v>
      </c>
      <c r="B10" s="6">
        <f>'Revenue Projections'!D10</f>
        <v>3000</v>
      </c>
      <c r="C10" s="6">
        <f>'Operating Expenses'!C$15</f>
        <v>0</v>
      </c>
      <c r="D10" s="6">
        <f t="shared" si="0"/>
        <v>3000</v>
      </c>
      <c r="E10" s="6">
        <f t="shared" si="1"/>
        <v>10200</v>
      </c>
      <c r="F10" s="6">
        <f t="shared" si="2"/>
        <v>60200</v>
      </c>
    </row>
    <row r="11" spans="1:6" x14ac:dyDescent="0.25">
      <c r="A11" s="5" t="s">
        <v>82</v>
      </c>
      <c r="B11" s="6">
        <f>'Revenue Projections'!D11</f>
        <v>3750</v>
      </c>
      <c r="C11" s="6">
        <f>'Operating Expenses'!C$15</f>
        <v>0</v>
      </c>
      <c r="D11" s="6">
        <f t="shared" si="0"/>
        <v>3750</v>
      </c>
      <c r="E11" s="6">
        <f t="shared" si="1"/>
        <v>13950</v>
      </c>
      <c r="F11" s="6">
        <f t="shared" si="2"/>
        <v>63950</v>
      </c>
    </row>
    <row r="12" spans="1:6" x14ac:dyDescent="0.25">
      <c r="A12" s="5" t="s">
        <v>83</v>
      </c>
      <c r="B12" s="6">
        <f>'Revenue Projections'!D12</f>
        <v>4500</v>
      </c>
      <c r="C12" s="6">
        <f>'Operating Expenses'!C$15</f>
        <v>0</v>
      </c>
      <c r="D12" s="6">
        <f t="shared" si="0"/>
        <v>4500</v>
      </c>
      <c r="E12" s="6">
        <f t="shared" si="1"/>
        <v>18450</v>
      </c>
      <c r="F12" s="6">
        <f t="shared" si="2"/>
        <v>68450</v>
      </c>
    </row>
    <row r="13" spans="1:6" x14ac:dyDescent="0.25">
      <c r="A13" s="5" t="s">
        <v>84</v>
      </c>
      <c r="B13" s="6">
        <f>'Revenue Projections'!D13</f>
        <v>5250</v>
      </c>
      <c r="C13" s="6">
        <f>'Operating Expenses'!C$15</f>
        <v>0</v>
      </c>
      <c r="D13" s="6">
        <f t="shared" si="0"/>
        <v>5250</v>
      </c>
      <c r="E13" s="6">
        <f t="shared" si="1"/>
        <v>23700</v>
      </c>
      <c r="F13" s="6">
        <f t="shared" si="2"/>
        <v>73700</v>
      </c>
    </row>
    <row r="14" spans="1:6" x14ac:dyDescent="0.25">
      <c r="A14" s="5" t="s">
        <v>85</v>
      </c>
      <c r="B14" s="6">
        <f>'Revenue Projections'!D14</f>
        <v>6000</v>
      </c>
      <c r="C14" s="6">
        <f>'Operating Expenses'!C$15</f>
        <v>0</v>
      </c>
      <c r="D14" s="6">
        <f t="shared" si="0"/>
        <v>6000</v>
      </c>
      <c r="E14" s="6">
        <f t="shared" si="1"/>
        <v>29700</v>
      </c>
      <c r="F14" s="6">
        <f t="shared" si="2"/>
        <v>79700</v>
      </c>
    </row>
    <row r="15" spans="1:6" x14ac:dyDescent="0.25">
      <c r="A15" s="5" t="s">
        <v>86</v>
      </c>
      <c r="B15" s="6">
        <f>'Revenue Projections'!D15</f>
        <v>6750</v>
      </c>
      <c r="C15" s="6">
        <f>'Operating Expenses'!C$15</f>
        <v>0</v>
      </c>
      <c r="D15" s="6">
        <f t="shared" si="0"/>
        <v>6750</v>
      </c>
      <c r="E15" s="6">
        <f t="shared" si="1"/>
        <v>36450</v>
      </c>
      <c r="F15" s="6">
        <f t="shared" si="2"/>
        <v>86450</v>
      </c>
    </row>
    <row r="16" spans="1:6" x14ac:dyDescent="0.25">
      <c r="A16" s="5" t="s">
        <v>87</v>
      </c>
      <c r="B16" s="6">
        <f>'Revenue Projections'!D16</f>
        <v>7950</v>
      </c>
      <c r="C16" s="6">
        <f>'Operating Expenses'!C$15</f>
        <v>0</v>
      </c>
      <c r="D16" s="6">
        <f t="shared" si="0"/>
        <v>7950</v>
      </c>
      <c r="E16" s="6">
        <f t="shared" si="1"/>
        <v>44400</v>
      </c>
      <c r="F16" s="6">
        <f t="shared" si="2"/>
        <v>94400</v>
      </c>
    </row>
    <row r="17" spans="1:6" x14ac:dyDescent="0.25">
      <c r="A17" s="5" t="s">
        <v>88</v>
      </c>
      <c r="B17" s="6">
        <f>'Revenue Projections'!D17</f>
        <v>9150</v>
      </c>
      <c r="C17" s="6">
        <f>'Operating Expenses'!C$15</f>
        <v>0</v>
      </c>
      <c r="D17" s="6">
        <f t="shared" si="0"/>
        <v>9150</v>
      </c>
      <c r="E17" s="6">
        <f t="shared" si="1"/>
        <v>53550</v>
      </c>
      <c r="F17" s="6">
        <f t="shared" si="2"/>
        <v>103550</v>
      </c>
    </row>
    <row r="18" spans="1:6" x14ac:dyDescent="0.25">
      <c r="A18" s="5" t="s">
        <v>89</v>
      </c>
      <c r="B18" s="6">
        <f>'Revenue Projections'!D18</f>
        <v>10350</v>
      </c>
      <c r="C18" s="6">
        <f>'Operating Expenses'!C$15</f>
        <v>0</v>
      </c>
      <c r="D18" s="6">
        <f t="shared" si="0"/>
        <v>10350</v>
      </c>
      <c r="E18" s="6">
        <f t="shared" si="1"/>
        <v>63900</v>
      </c>
      <c r="F18" s="6">
        <f t="shared" si="2"/>
        <v>113900</v>
      </c>
    </row>
    <row r="19" spans="1:6" x14ac:dyDescent="0.25">
      <c r="A19" s="5" t="s">
        <v>90</v>
      </c>
      <c r="B19" s="6">
        <f>'Revenue Projections'!D19</f>
        <v>11550</v>
      </c>
      <c r="C19" s="6">
        <f>'Operating Expenses'!C$15</f>
        <v>0</v>
      </c>
      <c r="D19" s="6">
        <f t="shared" si="0"/>
        <v>11550</v>
      </c>
      <c r="E19" s="6">
        <f t="shared" si="1"/>
        <v>75450</v>
      </c>
      <c r="F19" s="6">
        <f t="shared" si="2"/>
        <v>125450</v>
      </c>
    </row>
    <row r="20" spans="1:6" x14ac:dyDescent="0.25">
      <c r="A20" s="5" t="s">
        <v>91</v>
      </c>
      <c r="B20" s="6">
        <f>'Revenue Projections'!D20</f>
        <v>12750</v>
      </c>
      <c r="C20" s="6">
        <f>'Operating Expenses'!C$15</f>
        <v>0</v>
      </c>
      <c r="D20" s="6">
        <f t="shared" si="0"/>
        <v>12750</v>
      </c>
      <c r="E20" s="6">
        <f t="shared" si="1"/>
        <v>88200</v>
      </c>
      <c r="F20" s="6">
        <f t="shared" si="2"/>
        <v>138200</v>
      </c>
    </row>
    <row r="21" spans="1:6" x14ac:dyDescent="0.25">
      <c r="A21" s="5" t="s">
        <v>92</v>
      </c>
      <c r="B21" s="6">
        <f>'Revenue Projections'!D21</f>
        <v>13950</v>
      </c>
      <c r="C21" s="6">
        <f>'Operating Expenses'!C$15</f>
        <v>0</v>
      </c>
      <c r="D21" s="6">
        <f t="shared" si="0"/>
        <v>13950</v>
      </c>
      <c r="E21" s="6">
        <f t="shared" si="1"/>
        <v>102150</v>
      </c>
      <c r="F21" s="6">
        <f t="shared" si="2"/>
        <v>152150</v>
      </c>
    </row>
    <row r="22" spans="1:6" x14ac:dyDescent="0.25">
      <c r="A22" s="5" t="s">
        <v>93</v>
      </c>
      <c r="B22" s="6">
        <f>'Revenue Projections'!D22</f>
        <v>15150</v>
      </c>
      <c r="C22" s="6">
        <f>'Operating Expenses'!C$15</f>
        <v>0</v>
      </c>
      <c r="D22" s="6">
        <f t="shared" si="0"/>
        <v>15150</v>
      </c>
      <c r="E22" s="6">
        <f t="shared" si="1"/>
        <v>117300</v>
      </c>
      <c r="F22" s="6">
        <f t="shared" si="2"/>
        <v>167300</v>
      </c>
    </row>
    <row r="23" spans="1:6" x14ac:dyDescent="0.25">
      <c r="A23" s="5" t="s">
        <v>94</v>
      </c>
      <c r="B23" s="6">
        <f>'Revenue Projections'!D23</f>
        <v>16350</v>
      </c>
      <c r="C23" s="6">
        <f>'Operating Expenses'!C$15</f>
        <v>0</v>
      </c>
      <c r="D23" s="6">
        <f t="shared" si="0"/>
        <v>16350</v>
      </c>
      <c r="E23" s="6">
        <f t="shared" si="1"/>
        <v>133650</v>
      </c>
      <c r="F23" s="6">
        <f t="shared" si="2"/>
        <v>183650</v>
      </c>
    </row>
    <row r="24" spans="1:6" x14ac:dyDescent="0.25">
      <c r="A24" s="5" t="s">
        <v>95</v>
      </c>
      <c r="B24" s="6">
        <f>'Revenue Projections'!D24</f>
        <v>17550</v>
      </c>
      <c r="C24" s="6">
        <f>'Operating Expenses'!C$15</f>
        <v>0</v>
      </c>
      <c r="D24" s="6">
        <f t="shared" si="0"/>
        <v>17550</v>
      </c>
      <c r="E24" s="6">
        <f t="shared" si="1"/>
        <v>151200</v>
      </c>
      <c r="F24" s="6">
        <f t="shared" si="2"/>
        <v>201200</v>
      </c>
    </row>
    <row r="25" spans="1:6" x14ac:dyDescent="0.25">
      <c r="A25" s="5" t="s">
        <v>96</v>
      </c>
      <c r="B25" s="6">
        <f>'Revenue Projections'!D25</f>
        <v>18750</v>
      </c>
      <c r="C25" s="6">
        <f>'Operating Expenses'!C$15</f>
        <v>0</v>
      </c>
      <c r="D25" s="6">
        <f t="shared" si="0"/>
        <v>18750</v>
      </c>
      <c r="E25" s="6">
        <f t="shared" si="1"/>
        <v>169950</v>
      </c>
      <c r="F25" s="6">
        <f t="shared" si="2"/>
        <v>219950</v>
      </c>
    </row>
    <row r="26" spans="1:6" x14ac:dyDescent="0.25">
      <c r="A26" s="5" t="s">
        <v>97</v>
      </c>
      <c r="B26" s="6">
        <f>'Revenue Projections'!D26</f>
        <v>19950</v>
      </c>
      <c r="C26" s="6">
        <f>'Operating Expenses'!C$15</f>
        <v>0</v>
      </c>
      <c r="D26" s="6">
        <f t="shared" si="0"/>
        <v>19950</v>
      </c>
      <c r="E26" s="6">
        <f t="shared" si="1"/>
        <v>189900</v>
      </c>
      <c r="F26" s="6">
        <f t="shared" si="2"/>
        <v>239900</v>
      </c>
    </row>
    <row r="27" spans="1:6" x14ac:dyDescent="0.25">
      <c r="A27" s="5" t="s">
        <v>98</v>
      </c>
      <c r="B27" s="6">
        <f>'Revenue Projections'!D27</f>
        <v>21150</v>
      </c>
      <c r="C27" s="6">
        <f>'Operating Expenses'!C$15</f>
        <v>0</v>
      </c>
      <c r="D27" s="6">
        <f t="shared" si="0"/>
        <v>21150</v>
      </c>
      <c r="E27" s="6">
        <f t="shared" si="1"/>
        <v>211050</v>
      </c>
      <c r="F27" s="6">
        <f t="shared" si="2"/>
        <v>261050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E10" sqref="E10"/>
    </sheetView>
  </sheetViews>
  <sheetFormatPr defaultRowHeight="15" x14ac:dyDescent="0.25"/>
  <cols>
    <col min="1" max="1" width="40" customWidth="1"/>
    <col min="2" max="2" width="28" customWidth="1"/>
  </cols>
  <sheetData>
    <row r="1" spans="1:2" ht="18.75" customHeight="1" x14ac:dyDescent="0.3">
      <c r="A1" s="3" t="s">
        <v>105</v>
      </c>
    </row>
    <row r="3" spans="1:2" x14ac:dyDescent="0.25">
      <c r="A3" s="4" t="s">
        <v>106</v>
      </c>
      <c r="B3" s="4"/>
    </row>
    <row r="4" spans="1:2" x14ac:dyDescent="0.25">
      <c r="A4" s="5"/>
      <c r="B4" s="5"/>
    </row>
    <row r="5" spans="1:2" x14ac:dyDescent="0.25">
      <c r="A5" s="5" t="s">
        <v>107</v>
      </c>
      <c r="B5" s="6">
        <f>'Operating Expenses'!C$16</f>
        <v>5300</v>
      </c>
    </row>
    <row r="6" spans="1:2" x14ac:dyDescent="0.25">
      <c r="A6" s="5" t="s">
        <v>108</v>
      </c>
      <c r="B6" s="6">
        <v>150</v>
      </c>
    </row>
    <row r="7" spans="1:2" x14ac:dyDescent="0.25">
      <c r="A7" s="5" t="s">
        <v>109</v>
      </c>
      <c r="B7" s="6">
        <v>30</v>
      </c>
    </row>
    <row r="8" spans="1:2" x14ac:dyDescent="0.25">
      <c r="A8" s="5" t="s">
        <v>110</v>
      </c>
      <c r="B8" s="6">
        <f>B6-B7</f>
        <v>120</v>
      </c>
    </row>
    <row r="9" spans="1:2" x14ac:dyDescent="0.25">
      <c r="A9" s="5"/>
      <c r="B9" s="5"/>
    </row>
    <row r="10" spans="1:2" x14ac:dyDescent="0.25">
      <c r="A10" s="5" t="s">
        <v>111</v>
      </c>
      <c r="B10" s="5">
        <f>B5/B8</f>
        <v>44.166666666666664</v>
      </c>
    </row>
    <row r="11" spans="1:2" x14ac:dyDescent="0.25">
      <c r="A11" s="5" t="s">
        <v>112</v>
      </c>
      <c r="B11" s="6">
        <f>B10*B6</f>
        <v>6625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selection activeCell="F13" sqref="F13"/>
    </sheetView>
  </sheetViews>
  <sheetFormatPr defaultRowHeight="15" x14ac:dyDescent="0.25"/>
  <cols>
    <col min="1" max="1" width="50" customWidth="1"/>
    <col min="2" max="2" width="30" customWidth="1"/>
  </cols>
  <sheetData>
    <row r="1" spans="1:2" ht="18.75" customHeight="1" x14ac:dyDescent="0.3">
      <c r="A1" s="3" t="s">
        <v>113</v>
      </c>
    </row>
    <row r="3" spans="1:2" x14ac:dyDescent="0.25">
      <c r="A3" s="4" t="s">
        <v>114</v>
      </c>
      <c r="B3" s="4"/>
    </row>
    <row r="4" spans="1:2" x14ac:dyDescent="0.25">
      <c r="A4" s="5"/>
      <c r="B4" s="5"/>
    </row>
    <row r="5" spans="1:2" x14ac:dyDescent="0.25">
      <c r="A5" s="5" t="s">
        <v>115</v>
      </c>
      <c r="B5" s="6">
        <f>'Startup Costs'!C$15</f>
        <v>48500</v>
      </c>
    </row>
    <row r="6" spans="1:2" x14ac:dyDescent="0.25">
      <c r="A6" s="5" t="s">
        <v>116</v>
      </c>
      <c r="B6" s="6">
        <f>'Operating Expenses'!C$16*6</f>
        <v>31800</v>
      </c>
    </row>
    <row r="7" spans="1:2" x14ac:dyDescent="0.25">
      <c r="A7" s="5" t="s">
        <v>117</v>
      </c>
      <c r="B7" s="6">
        <v>30000</v>
      </c>
    </row>
    <row r="8" spans="1:2" x14ac:dyDescent="0.25">
      <c r="A8" s="5" t="s">
        <v>118</v>
      </c>
      <c r="B8" s="6">
        <v>15000</v>
      </c>
    </row>
    <row r="9" spans="1:2" x14ac:dyDescent="0.25">
      <c r="A9" s="5" t="s">
        <v>119</v>
      </c>
      <c r="B9" s="6">
        <f>(B5+B6+B7+B8)*0.2</f>
        <v>25060</v>
      </c>
    </row>
    <row r="10" spans="1:2" x14ac:dyDescent="0.25">
      <c r="A10" s="5"/>
      <c r="B10" s="5"/>
    </row>
    <row r="11" spans="1:2" x14ac:dyDescent="0.25">
      <c r="A11" s="7" t="s">
        <v>120</v>
      </c>
      <c r="B11" s="8">
        <f>SUM(B5:B9)</f>
        <v>150360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selection activeCell="A3" sqref="A3"/>
    </sheetView>
  </sheetViews>
  <sheetFormatPr defaultRowHeight="15" x14ac:dyDescent="0.25"/>
  <cols>
    <col min="1" max="1" width="42.42578125" customWidth="1"/>
    <col min="2" max="2" width="21" customWidth="1"/>
    <col min="3" max="3" width="22" customWidth="1"/>
    <col min="4" max="5" width="18" customWidth="1"/>
  </cols>
  <sheetData>
    <row r="1" spans="1:5" ht="18.75" customHeight="1" x14ac:dyDescent="0.3">
      <c r="A1" s="10" t="s">
        <v>121</v>
      </c>
    </row>
    <row r="3" spans="1:5" x14ac:dyDescent="0.25">
      <c r="A3" s="4" t="s">
        <v>122</v>
      </c>
      <c r="B3" s="4" t="s">
        <v>123</v>
      </c>
      <c r="C3" s="4" t="s">
        <v>124</v>
      </c>
      <c r="D3" s="4" t="s">
        <v>125</v>
      </c>
      <c r="E3" s="4" t="s">
        <v>126</v>
      </c>
    </row>
    <row r="4" spans="1:5" x14ac:dyDescent="0.25">
      <c r="A4" s="5" t="s">
        <v>127</v>
      </c>
      <c r="B4" s="5" t="s">
        <v>128</v>
      </c>
      <c r="C4" s="5" t="s">
        <v>129</v>
      </c>
      <c r="D4" s="5">
        <v>18</v>
      </c>
      <c r="E4" s="6">
        <v>75000</v>
      </c>
    </row>
    <row r="5" spans="1:5" x14ac:dyDescent="0.25">
      <c r="A5" s="5" t="s">
        <v>130</v>
      </c>
      <c r="B5" s="5" t="s">
        <v>131</v>
      </c>
      <c r="C5" s="5" t="s">
        <v>132</v>
      </c>
      <c r="D5" s="5">
        <v>12</v>
      </c>
      <c r="E5" s="6">
        <v>60000</v>
      </c>
    </row>
    <row r="6" spans="1:5" x14ac:dyDescent="0.25">
      <c r="A6" s="5" t="s">
        <v>133</v>
      </c>
      <c r="B6" s="5" t="s">
        <v>134</v>
      </c>
      <c r="C6" s="5" t="s">
        <v>135</v>
      </c>
      <c r="D6" s="5">
        <v>8</v>
      </c>
      <c r="E6" s="6">
        <v>45000</v>
      </c>
    </row>
    <row r="8" spans="1:5" x14ac:dyDescent="0.25">
      <c r="A8" s="4" t="s">
        <v>136</v>
      </c>
      <c r="B8" s="4"/>
    </row>
    <row r="9" spans="1:5" x14ac:dyDescent="0.25">
      <c r="A9" s="5" t="s">
        <v>139</v>
      </c>
      <c r="B9" s="5"/>
    </row>
    <row r="10" spans="1:5" x14ac:dyDescent="0.25">
      <c r="A10" s="5" t="s">
        <v>137</v>
      </c>
      <c r="B10" s="5"/>
    </row>
    <row r="11" spans="1:5" x14ac:dyDescent="0.25">
      <c r="A11" s="5" t="s">
        <v>138</v>
      </c>
      <c r="B11" s="5"/>
    </row>
    <row r="12" spans="1:5" x14ac:dyDescent="0.25">
      <c r="A12" s="5" t="s">
        <v>140</v>
      </c>
      <c r="B12" s="5"/>
    </row>
    <row r="13" spans="1:5" x14ac:dyDescent="0.25">
      <c r="A13" s="5" t="s">
        <v>141</v>
      </c>
      <c r="B13" s="5"/>
    </row>
    <row r="14" spans="1:5" x14ac:dyDescent="0.25">
      <c r="A14" s="5" t="s">
        <v>142</v>
      </c>
      <c r="B14" s="5"/>
    </row>
    <row r="15" spans="1:5" x14ac:dyDescent="0.25">
      <c r="A15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8DF7-3434-4CD5-B4C4-4BC1D5F21C32}">
  <dimension ref="A1:B25"/>
  <sheetViews>
    <sheetView showGridLines="0" tabSelected="1" workbookViewId="0">
      <selection activeCell="K14" sqref="K14"/>
    </sheetView>
  </sheetViews>
  <sheetFormatPr defaultRowHeight="15" x14ac:dyDescent="0.25"/>
  <cols>
    <col min="1" max="1" width="28.42578125" customWidth="1"/>
  </cols>
  <sheetData>
    <row r="1" spans="1:2" ht="18.75" x14ac:dyDescent="0.3">
      <c r="A1" s="11" t="s">
        <v>146</v>
      </c>
      <c r="B1" s="3"/>
    </row>
    <row r="3" spans="1:2" x14ac:dyDescent="0.25">
      <c r="A3" s="4" t="s">
        <v>143</v>
      </c>
    </row>
    <row r="4" spans="1:2" x14ac:dyDescent="0.25">
      <c r="A4" t="s">
        <v>147</v>
      </c>
    </row>
    <row r="5" spans="1:2" x14ac:dyDescent="0.25">
      <c r="A5" t="s">
        <v>148</v>
      </c>
    </row>
    <row r="6" spans="1:2" x14ac:dyDescent="0.25">
      <c r="A6" t="s">
        <v>149</v>
      </c>
    </row>
    <row r="7" spans="1:2" x14ac:dyDescent="0.25">
      <c r="A7" t="s">
        <v>150</v>
      </c>
    </row>
    <row r="8" spans="1:2" x14ac:dyDescent="0.25">
      <c r="A8" s="4" t="s">
        <v>144</v>
      </c>
    </row>
    <row r="9" spans="1:2" x14ac:dyDescent="0.25">
      <c r="A9" t="s">
        <v>151</v>
      </c>
    </row>
    <row r="10" spans="1:2" x14ac:dyDescent="0.25">
      <c r="A10" t="s">
        <v>152</v>
      </c>
    </row>
    <row r="11" spans="1:2" x14ac:dyDescent="0.25">
      <c r="A11" t="s">
        <v>153</v>
      </c>
    </row>
    <row r="12" spans="1:2" x14ac:dyDescent="0.25">
      <c r="A12" t="s">
        <v>154</v>
      </c>
    </row>
    <row r="13" spans="1:2" x14ac:dyDescent="0.25">
      <c r="A13" t="s">
        <v>155</v>
      </c>
    </row>
    <row r="14" spans="1:2" x14ac:dyDescent="0.25">
      <c r="A14" s="4" t="s">
        <v>145</v>
      </c>
    </row>
    <row r="15" spans="1:2" x14ac:dyDescent="0.25">
      <c r="A15" t="s">
        <v>156</v>
      </c>
    </row>
    <row r="16" spans="1:2" x14ac:dyDescent="0.25">
      <c r="A16" t="s">
        <v>157</v>
      </c>
    </row>
    <row r="17" spans="1:1" x14ac:dyDescent="0.25">
      <c r="A17" t="s">
        <v>158</v>
      </c>
    </row>
    <row r="18" spans="1:1" x14ac:dyDescent="0.25">
      <c r="A18" t="s">
        <v>159</v>
      </c>
    </row>
    <row r="19" spans="1:1" x14ac:dyDescent="0.25">
      <c r="A19" t="s">
        <v>160</v>
      </c>
    </row>
    <row r="20" spans="1:1" x14ac:dyDescent="0.25">
      <c r="A20" s="4" t="s">
        <v>37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163</v>
      </c>
    </row>
    <row r="24" spans="1:1" x14ac:dyDescent="0.25">
      <c r="A24" t="s">
        <v>164</v>
      </c>
    </row>
    <row r="25" spans="1:1" x14ac:dyDescent="0.25">
      <c r="A25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Startup Costs</vt:lpstr>
      <vt:lpstr>Operating Expenses</vt:lpstr>
      <vt:lpstr>Revenue Projections</vt:lpstr>
      <vt:lpstr>Cash Flow Projections</vt:lpstr>
      <vt:lpstr>Break-even Analysis</vt:lpstr>
      <vt:lpstr>Funding Calculator</vt:lpstr>
      <vt:lpstr>Scenario Analysis</vt:lpstr>
      <vt:lpstr>Resource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2025-06-19T03:36:33Z</dcterms:created>
  <dcterms:modified xsi:type="dcterms:W3CDTF">2025-07-09T02:18:31Z</dcterms:modified>
</cp:coreProperties>
</file>