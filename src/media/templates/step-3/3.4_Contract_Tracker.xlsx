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"/>
    </mc:Choice>
  </mc:AlternateContent>
  <xr:revisionPtr revIDLastSave="2" documentId="11_E953B8E7D370221F6E35C0F5583ED6FEE69E992F" xr6:coauthVersionLast="47" xr6:coauthVersionMax="47" xr10:uidLastSave="{E55C6340-4D1A-4FA0-AC91-49F54E59C73F}"/>
  <bookViews>
    <workbookView xWindow="-120" yWindow="-120" windowWidth="29040" windowHeight="15840" xr2:uid="{00000000-000D-0000-FFFF-FFFF00000000}"/>
  </bookViews>
  <sheets>
    <sheet name="Contract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</calcChain>
</file>

<file path=xl/sharedStrings.xml><?xml version="1.0" encoding="utf-8"?>
<sst xmlns="http://schemas.openxmlformats.org/spreadsheetml/2006/main" count="56" uniqueCount="51">
  <si>
    <t>Contract ID</t>
  </si>
  <si>
    <t>Contract Type</t>
  </si>
  <si>
    <t>Counterparty</t>
  </si>
  <si>
    <t>Description</t>
  </si>
  <si>
    <t>Start Date</t>
  </si>
  <si>
    <t>End Date</t>
  </si>
  <si>
    <t>Value</t>
  </si>
  <si>
    <t>Status</t>
  </si>
  <si>
    <t>Renewal Date</t>
  </si>
  <si>
    <t>Notice Period</t>
  </si>
  <si>
    <t>Key Terms</t>
  </si>
  <si>
    <t>Responsible Person</t>
  </si>
  <si>
    <t>File Location</t>
  </si>
  <si>
    <t>Notes</t>
  </si>
  <si>
    <t>C001</t>
  </si>
  <si>
    <t>Service Agreement</t>
  </si>
  <si>
    <t>ABC Corp</t>
  </si>
  <si>
    <t>Marketing Services</t>
  </si>
  <si>
    <t>2025-01-01</t>
  </si>
  <si>
    <t>2025-12-31</t>
  </si>
  <si>
    <t>Active</t>
  </si>
  <si>
    <t>2025-11-01</t>
  </si>
  <si>
    <t>30 days</t>
  </si>
  <si>
    <t>Monthly payments</t>
  </si>
  <si>
    <t>John Smith</t>
  </si>
  <si>
    <t>Contracts/ABC_Service.pdf</t>
  </si>
  <si>
    <t>C002</t>
  </si>
  <si>
    <t>NDA</t>
  </si>
  <si>
    <t>XYZ Inc</t>
  </si>
  <si>
    <t>Product Development</t>
  </si>
  <si>
    <t>2025-01-15</t>
  </si>
  <si>
    <t>2027-01-15</t>
  </si>
  <si>
    <t>N/A</t>
  </si>
  <si>
    <t>Mutual confidentiality</t>
  </si>
  <si>
    <t>Jane Doe</t>
  </si>
  <si>
    <t>Contracts/XYZ_NDA.pdf</t>
  </si>
  <si>
    <t>C003</t>
  </si>
  <si>
    <t>Employment</t>
  </si>
  <si>
    <t>Bob Johnson</t>
  </si>
  <si>
    <t>Software Developer</t>
  </si>
  <si>
    <t>2025-02-01</t>
  </si>
  <si>
    <t>2 weeks</t>
  </si>
  <si>
    <t>At-will employment</t>
  </si>
  <si>
    <t>HR Manager</t>
  </si>
  <si>
    <t>HR/Bob_Employment.pdf</t>
  </si>
  <si>
    <t>CONTRACT SUMMARY</t>
  </si>
  <si>
    <t>Total Contracts:</t>
  </si>
  <si>
    <t>Active Contracts:</t>
  </si>
  <si>
    <t>Total Contract Value:</t>
  </si>
  <si>
    <t>Contracts Expiring in 30 Days:</t>
  </si>
  <si>
    <t>CONTRACT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</si>
</sst>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N9" sqref="N9"/>
    </sheetView>
  </sheetViews>
  <sheetFormatPr defaultRowHeight="15" x14ac:dyDescent="0.25"/>
  <cols>
    <col min="1" max="1" width="32.140625" customWidth="1"/>
    <col min="2" max="2" width="15" customWidth="1"/>
    <col min="3" max="3" width="20" customWidth="1"/>
    <col min="4" max="4" width="25" customWidth="1"/>
    <col min="5" max="6" width="12" customWidth="1"/>
    <col min="7" max="7" width="15" customWidth="1"/>
    <col min="8" max="10" width="12" customWidth="1"/>
    <col min="11" max="11" width="20" customWidth="1"/>
    <col min="12" max="12" width="15" customWidth="1"/>
    <col min="13" max="13" width="25" customWidth="1"/>
    <col min="14" max="14" width="20" customWidth="1"/>
  </cols>
  <sheetData>
    <row r="1" spans="1:14" ht="21" x14ac:dyDescent="0.35">
      <c r="A1" s="1" t="s">
        <v>50</v>
      </c>
    </row>
    <row r="3" spans="1:1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s="3">
        <v>50000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4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0</v>
      </c>
      <c r="H5" t="s">
        <v>20</v>
      </c>
      <c r="I5" t="s">
        <v>32</v>
      </c>
      <c r="J5" t="s">
        <v>32</v>
      </c>
      <c r="K5" t="s">
        <v>33</v>
      </c>
      <c r="L5" t="s">
        <v>34</v>
      </c>
      <c r="M5" t="s">
        <v>35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32</v>
      </c>
      <c r="G6" s="3">
        <v>75000</v>
      </c>
      <c r="H6" t="s">
        <v>20</v>
      </c>
      <c r="I6" t="s">
        <v>32</v>
      </c>
      <c r="J6" t="s">
        <v>41</v>
      </c>
      <c r="K6" t="s">
        <v>42</v>
      </c>
      <c r="L6" t="s">
        <v>43</v>
      </c>
      <c r="M6" t="s">
        <v>44</v>
      </c>
    </row>
    <row r="10" spans="1:14" x14ac:dyDescent="0.25">
      <c r="A10" s="2" t="s">
        <v>45</v>
      </c>
    </row>
    <row r="11" spans="1:14" x14ac:dyDescent="0.25">
      <c r="A11" s="4" t="s">
        <v>46</v>
      </c>
      <c r="B11">
        <f>COUNTA(A4:A100)</f>
        <v>8</v>
      </c>
    </row>
    <row r="12" spans="1:14" x14ac:dyDescent="0.25">
      <c r="A12" s="4" t="s">
        <v>47</v>
      </c>
      <c r="B12">
        <f>COUNTIF(H4:H100,"Active")</f>
        <v>3</v>
      </c>
    </row>
    <row r="13" spans="1:14" x14ac:dyDescent="0.25">
      <c r="A13" s="4" t="s">
        <v>48</v>
      </c>
      <c r="B13" s="3">
        <f>SUMIF(H4:H100,"Active",G4:G100)</f>
        <v>125000</v>
      </c>
    </row>
    <row r="14" spans="1:14" x14ac:dyDescent="0.25">
      <c r="A14" s="4" t="s">
        <v>49</v>
      </c>
      <c r="B14">
        <f ca="1">COUNTIFS(F4:F100,"&gt;"&amp;TODAY(),F4:F100,"&lt;"&amp;TODAY()+30)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2025-06-19T03:44:32Z</dcterms:created>
  <dcterms:modified xsi:type="dcterms:W3CDTF">2025-06-19T04:47:49Z</dcterms:modified>
</cp:coreProperties>
</file>